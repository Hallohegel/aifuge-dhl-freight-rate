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hallo\OneDrive\2物流报价2024\DB Schenker 报价\WG_ Offerten 2025 Systemsendungen National   Europa\"/>
    </mc:Choice>
  </mc:AlternateContent>
  <xr:revisionPtr revIDLastSave="0" documentId="13_ncr:1_{48C9AC94-4E76-487F-8D1A-DDE330F894D3}" xr6:coauthVersionLast="47" xr6:coauthVersionMax="47" xr10:uidLastSave="{00000000-0000-0000-0000-000000000000}"/>
  <bookViews>
    <workbookView xWindow="-103" yWindow="-103" windowWidth="22149" windowHeight="11829" xr2:uid="{E6240E6C-11B8-4FA1-85AB-F3EC69EF0C2E}"/>
  </bookViews>
  <sheets>
    <sheet name="Mauttabelle"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 r="H3" i="2"/>
  <c r="G3" i="2"/>
  <c r="F3" i="2"/>
  <c r="E3" i="2"/>
  <c r="D3" i="2"/>
  <c r="C3" i="2"/>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alcChain>
</file>

<file path=xl/sharedStrings.xml><?xml version="1.0" encoding="utf-8"?>
<sst xmlns="http://schemas.openxmlformats.org/spreadsheetml/2006/main" count="44" uniqueCount="43">
  <si>
    <t>Sendungsgröße</t>
  </si>
  <si>
    <t>Tarifentfernung</t>
  </si>
  <si>
    <t>(frachtpfl. Gewicht)</t>
  </si>
  <si>
    <t>ab 12.001 kg</t>
  </si>
  <si>
    <t xml:space="preserve">Wir arbeiten ausschließlich auf Grundlage der Allgemeinen Deutschen Spediteurbedingungen 2017 - ADSp 2017 - und - soweit diese für die Erbringung logistischer Leistungen nicht gelten – nach den Logistik-AGB 2019.
Hinweis: Die ADSp 2017 weichen in Ziffer 23 hinsichtlich des Haftungshöchstbetrages für Güterschäden (§ 431 HGB) vom Gesetz ab, indem sie die Haftung bei multimodalen Transporten unter Einschluss einer Seebeförderung und bei unbekanntem Schadenort auf 2 SZR/kg und im Übrigen die Regelhaftung von 8,33 SZR/kg zusätzlich auf 1,25 Millionen Euro je Schadenfall sowie 2,5 Millionen Euro je Schadenereignis, mindestens aber 2 SZR/kg, beschränken.
</t>
  </si>
  <si>
    <t>Mauttabelle für Stückgut, Teil- &amp; Komplettladungen ab 1. Juli 2024*</t>
  </si>
  <si>
    <t>*) gültig 01.07.2024</t>
  </si>
  <si>
    <t>AT</t>
    <phoneticPr fontId="9" type="noConversion"/>
  </si>
  <si>
    <t>DK</t>
    <phoneticPr fontId="9" type="noConversion"/>
  </si>
  <si>
    <t>PL</t>
    <phoneticPr fontId="9" type="noConversion"/>
  </si>
  <si>
    <t>FI</t>
    <phoneticPr fontId="9" type="noConversion"/>
  </si>
  <si>
    <t>ES</t>
    <phoneticPr fontId="9" type="noConversion"/>
  </si>
  <si>
    <t>FR</t>
    <phoneticPr fontId="9" type="noConversion"/>
  </si>
  <si>
    <t>SE</t>
    <phoneticPr fontId="9" type="noConversion"/>
  </si>
  <si>
    <t>IT</t>
    <phoneticPr fontId="9" type="noConversion"/>
  </si>
  <si>
    <t>NL</t>
    <phoneticPr fontId="9" type="noConversion"/>
  </si>
  <si>
    <t>PT</t>
    <phoneticPr fontId="9" type="noConversion"/>
  </si>
  <si>
    <t>BE</t>
    <phoneticPr fontId="9" type="noConversion"/>
  </si>
  <si>
    <t>CZ</t>
    <phoneticPr fontId="9" type="noConversion"/>
  </si>
  <si>
    <t>EE</t>
    <phoneticPr fontId="9" type="noConversion"/>
  </si>
  <si>
    <t>HU</t>
    <phoneticPr fontId="9" type="noConversion"/>
  </si>
  <si>
    <t>BG</t>
    <phoneticPr fontId="9" type="noConversion"/>
  </si>
  <si>
    <t>RO</t>
    <phoneticPr fontId="9" type="noConversion"/>
  </si>
  <si>
    <t>LV</t>
    <phoneticPr fontId="9" type="noConversion"/>
  </si>
  <si>
    <t>LT</t>
    <phoneticPr fontId="9" type="noConversion"/>
  </si>
  <si>
    <t>IE</t>
    <phoneticPr fontId="9" type="noConversion"/>
  </si>
  <si>
    <t>CH</t>
  </si>
  <si>
    <t>GB</t>
    <phoneticPr fontId="9" type="noConversion"/>
  </si>
  <si>
    <t>GR</t>
    <phoneticPr fontId="9" type="noConversion"/>
  </si>
  <si>
    <t>HR</t>
    <phoneticPr fontId="9" type="noConversion"/>
  </si>
  <si>
    <t>LU</t>
    <phoneticPr fontId="9" type="noConversion"/>
  </si>
  <si>
    <t>ME</t>
    <phoneticPr fontId="9" type="noConversion"/>
  </si>
  <si>
    <t>MK</t>
    <phoneticPr fontId="9" type="noConversion"/>
  </si>
  <si>
    <t>NO</t>
    <phoneticPr fontId="9" type="noConversion"/>
  </si>
  <si>
    <t>RS</t>
    <phoneticPr fontId="9" type="noConversion"/>
  </si>
  <si>
    <t>SI,SK</t>
    <phoneticPr fontId="9" type="noConversion"/>
  </si>
  <si>
    <t>AT,BG, CH,HU,HR,RO,SI,SK,GR</t>
    <phoneticPr fontId="9" type="noConversion"/>
  </si>
  <si>
    <t>ES,FR,PT,LU</t>
    <phoneticPr fontId="9" type="noConversion"/>
  </si>
  <si>
    <t>BE,CZ</t>
    <phoneticPr fontId="9" type="noConversion"/>
  </si>
  <si>
    <t>NL,IE,GB</t>
    <phoneticPr fontId="9" type="noConversion"/>
  </si>
  <si>
    <t>DK,SE</t>
    <phoneticPr fontId="9" type="noConversion"/>
  </si>
  <si>
    <t>EE,FI,PL,LT,LV</t>
    <phoneticPr fontId="9" type="noConversion"/>
  </si>
  <si>
    <t>Sendungsgröße(frachtpfl. Gewicht)</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</si>
</sst>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 &quot;€&quot;_-;\-* #,##0.00\ &quot;€&quot;_-;_-* &quot;-&quot;??\ &quot;€&quot;_-;_-@_-"/>
    <numFmt numFmtId="177" formatCode="##,###\ &quot;-&quot;"/>
    <numFmt numFmtId="178" formatCode="##,###\ &quot;km&quot;"/>
    <numFmt numFmtId="179" formatCode="###\ &quot;-&quot;"/>
    <numFmt numFmtId="180" formatCode="##,###\ &quot;kg&quot;"/>
  </numFmts>
  <fonts count="11">
    <font>
      <sz val="11"/>
      <color theme="1"/>
      <name val="等线"/>
      <family val="2"/>
      <scheme val="minor"/>
    </font>
    <font>
      <sz val="11"/>
      <color theme="1"/>
      <name val="等线"/>
      <family val="2"/>
      <scheme val="minor"/>
    </font>
    <font>
      <sz val="11"/>
      <name val="Arial"/>
      <family val="2"/>
    </font>
    <font>
      <sz val="10"/>
      <name val="Arial"/>
      <family val="2"/>
    </font>
    <font>
      <b/>
      <sz val="14"/>
      <name val="Arial"/>
      <family val="2"/>
    </font>
    <font>
      <b/>
      <sz val="11"/>
      <name val="Arial"/>
      <family val="2"/>
    </font>
    <font>
      <b/>
      <sz val="10"/>
      <color theme="0"/>
      <name val="Arial"/>
      <family val="2"/>
    </font>
    <font>
      <sz val="9"/>
      <name val="Arial"/>
      <family val="2"/>
    </font>
    <font>
      <sz val="7"/>
      <color theme="1"/>
      <name val="Arial"/>
      <family val="2"/>
    </font>
    <font>
      <sz val="9"/>
      <name val="等线"/>
      <family val="3"/>
      <charset val="134"/>
      <scheme val="minor"/>
    </font>
    <font>
      <b/>
      <sz val="10"/>
      <name val="Arial"/>
      <family val="2"/>
    </font>
  </fonts>
  <fills count="5">
    <fill>
      <patternFill patternType="none"/>
    </fill>
    <fill>
      <patternFill patternType="gray125"/>
    </fill>
    <fill>
      <patternFill patternType="solid">
        <fgColor theme="0"/>
        <bgColor indexed="64"/>
      </patternFill>
    </fill>
    <fill>
      <patternFill patternType="solid">
        <fgColor rgb="FF008080"/>
        <bgColor indexed="64"/>
      </patternFill>
    </fill>
    <fill>
      <patternFill patternType="solid">
        <fgColor theme="9" tint="0.59999389629810485"/>
        <bgColor indexed="64"/>
      </patternFill>
    </fill>
  </fills>
  <borders count="2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176" fontId="1" fillId="0" borderId="0" applyFont="0" applyFill="0" applyBorder="0" applyAlignment="0" applyProtection="0"/>
  </cellStyleXfs>
  <cellXfs count="54">
    <xf numFmtId="0" fontId="0" fillId="0" borderId="0" xfId="0"/>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177" fontId="6" fillId="3" borderId="8" xfId="0" applyNumberFormat="1" applyFont="1" applyFill="1" applyBorder="1" applyAlignment="1">
      <alignment horizontal="center"/>
    </xf>
    <xf numFmtId="177" fontId="6" fillId="3" borderId="9" xfId="0" applyNumberFormat="1" applyFont="1" applyFill="1" applyBorder="1" applyAlignment="1">
      <alignment horizontal="center"/>
    </xf>
    <xf numFmtId="177" fontId="6" fillId="3" borderId="10" xfId="0" applyNumberFormat="1" applyFont="1" applyFill="1" applyBorder="1" applyAlignment="1">
      <alignment horizontal="center"/>
    </xf>
    <xf numFmtId="178" fontId="6" fillId="3" borderId="13" xfId="0" applyNumberFormat="1" applyFont="1" applyFill="1" applyBorder="1" applyAlignment="1">
      <alignment horizontal="center"/>
    </xf>
    <xf numFmtId="178" fontId="6" fillId="3" borderId="14" xfId="0" applyNumberFormat="1" applyFont="1" applyFill="1" applyBorder="1" applyAlignment="1">
      <alignment horizontal="center"/>
    </xf>
    <xf numFmtId="178" fontId="6" fillId="3" borderId="15" xfId="0" applyNumberFormat="1" applyFont="1" applyFill="1" applyBorder="1" applyAlignment="1">
      <alignment horizontal="center"/>
    </xf>
    <xf numFmtId="179" fontId="6" fillId="3" borderId="3" xfId="0" applyNumberFormat="1" applyFont="1" applyFill="1" applyBorder="1"/>
    <xf numFmtId="180" fontId="6" fillId="3" borderId="5" xfId="0" applyNumberFormat="1" applyFont="1" applyFill="1" applyBorder="1"/>
    <xf numFmtId="176" fontId="7" fillId="2" borderId="16" xfId="1" applyFont="1" applyFill="1" applyBorder="1"/>
    <xf numFmtId="176" fontId="7" fillId="2" borderId="17" xfId="1" applyFont="1" applyFill="1" applyBorder="1"/>
    <xf numFmtId="176" fontId="7" fillId="2" borderId="18" xfId="1" applyFont="1" applyFill="1" applyBorder="1"/>
    <xf numFmtId="179" fontId="6" fillId="3" borderId="19" xfId="0" applyNumberFormat="1" applyFont="1" applyFill="1" applyBorder="1"/>
    <xf numFmtId="180" fontId="6" fillId="3" borderId="20" xfId="0" applyNumberFormat="1" applyFont="1" applyFill="1" applyBorder="1"/>
    <xf numFmtId="176" fontId="7" fillId="2" borderId="21" xfId="1" applyFont="1" applyFill="1" applyBorder="1"/>
    <xf numFmtId="176" fontId="7" fillId="2" borderId="22" xfId="1" applyFont="1" applyFill="1" applyBorder="1"/>
    <xf numFmtId="176" fontId="7" fillId="2" borderId="23" xfId="1" applyFont="1" applyFill="1" applyBorder="1"/>
    <xf numFmtId="177" fontId="6" fillId="3" borderId="19" xfId="0" applyNumberFormat="1" applyFont="1" applyFill="1" applyBorder="1"/>
    <xf numFmtId="176" fontId="7" fillId="2" borderId="26" xfId="1" applyFont="1" applyFill="1" applyBorder="1"/>
    <xf numFmtId="176" fontId="7" fillId="2" borderId="27" xfId="1" applyFont="1" applyFill="1" applyBorder="1"/>
    <xf numFmtId="176" fontId="7" fillId="2" borderId="25" xfId="1" applyFont="1" applyFill="1" applyBorder="1"/>
    <xf numFmtId="0" fontId="3" fillId="2" borderId="0" xfId="0" applyFont="1" applyFill="1" applyAlignment="1">
      <alignment horizontal="right"/>
    </xf>
    <xf numFmtId="0" fontId="3" fillId="2" borderId="0" xfId="0" quotePrefix="1" applyFont="1" applyFill="1"/>
    <xf numFmtId="0" fontId="10" fillId="2" borderId="0" xfId="0" applyFont="1" applyFill="1" applyAlignment="1">
      <alignment horizontal="center" vertical="center"/>
    </xf>
    <xf numFmtId="0" fontId="10" fillId="2" borderId="0" xfId="0"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vertical="center"/>
    </xf>
    <xf numFmtId="176" fontId="7" fillId="0" borderId="22" xfId="1" applyFont="1" applyFill="1" applyBorder="1"/>
    <xf numFmtId="177" fontId="6" fillId="4" borderId="19" xfId="0" applyNumberFormat="1" applyFont="1" applyFill="1" applyBorder="1"/>
    <xf numFmtId="180" fontId="6" fillId="4" borderId="20" xfId="0" applyNumberFormat="1" applyFont="1" applyFill="1" applyBorder="1"/>
    <xf numFmtId="176" fontId="7" fillId="4" borderId="21" xfId="1" applyFont="1" applyFill="1" applyBorder="1"/>
    <xf numFmtId="176" fontId="7" fillId="4" borderId="22" xfId="1" applyFont="1" applyFill="1" applyBorder="1"/>
    <xf numFmtId="176" fontId="7" fillId="4" borderId="23" xfId="1" applyFont="1" applyFill="1" applyBorder="1"/>
    <xf numFmtId="0" fontId="3" fillId="4" borderId="0" xfId="0" applyFont="1" applyFill="1"/>
    <xf numFmtId="0" fontId="10" fillId="2" borderId="22" xfId="0" applyFont="1" applyFill="1" applyBorder="1" applyAlignment="1">
      <alignment horizontal="center" vertical="center"/>
    </xf>
    <xf numFmtId="0" fontId="10" fillId="2" borderId="22" xfId="0" applyFont="1" applyFill="1" applyBorder="1" applyAlignment="1">
      <alignment horizontal="center"/>
    </xf>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24" xfId="0" applyFont="1" applyFill="1" applyBorder="1" applyAlignment="1">
      <alignment horizontal="center"/>
    </xf>
    <xf numFmtId="0" fontId="6" fillId="3" borderId="25" xfId="0" applyFont="1" applyFill="1" applyBorder="1" applyAlignment="1">
      <alignment horizontal="center"/>
    </xf>
    <xf numFmtId="0" fontId="8" fillId="2" borderId="0" xfId="0" applyFont="1" applyFill="1" applyAlignment="1">
      <alignment horizontal="left" vertical="top" wrapText="1"/>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cellXfs>
  <cellStyles count="2">
    <cellStyle name="常规" xfId="0" builtinId="0"/>
    <cellStyle name="货币"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95250</xdr:rowOff>
    </xdr:from>
    <xdr:to>
      <xdr:col>3</xdr:col>
      <xdr:colOff>266287</xdr:colOff>
      <xdr:row>3</xdr:row>
      <xdr:rowOff>3309</xdr:rowOff>
    </xdr:to>
    <xdr:pic>
      <xdr:nvPicPr>
        <xdr:cNvPr id="2" name="Logo_Farbe" descr="DB-SCHENKER_rgb_M">
          <a:extLst>
            <a:ext uri="{FF2B5EF4-FFF2-40B4-BE49-F238E27FC236}">
              <a16:creationId xmlns:a16="http://schemas.microsoft.com/office/drawing/2014/main" id="{725AD4D2-FC21-4F56-963B-862351615E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95250"/>
          <a:ext cx="2161762" cy="3938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7B50-E731-42DF-8C6C-F561C672B657}">
  <dimension ref="B1:Z50"/>
  <sheetViews>
    <sheetView tabSelected="1" zoomScale="70" zoomScaleNormal="70" workbookViewId="0">
      <selection activeCell="AA21" sqref="AA21"/>
    </sheetView>
  </sheetViews>
  <sheetFormatPr defaultColWidth="11.42578125" defaultRowHeight="12.45"/>
  <cols>
    <col min="1" max="1" width="11.42578125" style="2"/>
    <col min="2" max="3" width="9.5703125" style="2" customWidth="1"/>
    <col min="4" max="4" width="8" style="2" bestFit="1" customWidth="1"/>
    <col min="5" max="25" width="9" style="2" bestFit="1" customWidth="1"/>
    <col min="26" max="16384" width="11.42578125" style="2"/>
  </cols>
  <sheetData>
    <row r="1" spans="2:26">
      <c r="I1" s="27" t="s">
        <v>9</v>
      </c>
      <c r="J1" s="27" t="s">
        <v>8</v>
      </c>
      <c r="K1" s="28" t="s">
        <v>15</v>
      </c>
      <c r="L1" s="28" t="s">
        <v>17</v>
      </c>
      <c r="M1" s="28"/>
      <c r="N1" s="28" t="s">
        <v>11</v>
      </c>
      <c r="O1" s="28"/>
      <c r="P1" s="27" t="s">
        <v>7</v>
      </c>
      <c r="Q1" s="28" t="s">
        <v>14</v>
      </c>
      <c r="Z1" s="2" t="s">
        <v>33</v>
      </c>
    </row>
    <row r="2" spans="2:26">
      <c r="I2" s="27" t="s">
        <v>10</v>
      </c>
      <c r="J2" s="28" t="s">
        <v>13</v>
      </c>
      <c r="K2" s="28" t="s">
        <v>25</v>
      </c>
      <c r="L2" s="28" t="s">
        <v>18</v>
      </c>
      <c r="M2" s="28"/>
      <c r="N2" s="28" t="s">
        <v>12</v>
      </c>
      <c r="O2" s="28"/>
      <c r="P2" s="28" t="s">
        <v>20</v>
      </c>
      <c r="Q2" s="28"/>
      <c r="Z2" s="2" t="s">
        <v>31</v>
      </c>
    </row>
    <row r="3" spans="2:26">
      <c r="I3" s="28" t="s">
        <v>19</v>
      </c>
      <c r="J3" s="28"/>
      <c r="K3" s="28" t="s">
        <v>27</v>
      </c>
      <c r="L3" s="28"/>
      <c r="M3" s="28"/>
      <c r="N3" s="28" t="s">
        <v>16</v>
      </c>
      <c r="O3" s="28"/>
      <c r="P3" s="28" t="s">
        <v>21</v>
      </c>
      <c r="Q3" s="28"/>
      <c r="Z3" s="2" t="s">
        <v>32</v>
      </c>
    </row>
    <row r="4" spans="2:26">
      <c r="I4" s="28" t="s">
        <v>24</v>
      </c>
      <c r="J4" s="28"/>
      <c r="K4" s="28"/>
      <c r="L4" s="28"/>
      <c r="M4" s="28"/>
      <c r="N4" s="28" t="s">
        <v>30</v>
      </c>
      <c r="O4" s="28"/>
      <c r="P4" s="28" t="s">
        <v>22</v>
      </c>
      <c r="Q4" s="28"/>
      <c r="Z4" s="2" t="s">
        <v>34</v>
      </c>
    </row>
    <row r="5" spans="2:26" ht="14.15">
      <c r="B5" s="1"/>
      <c r="C5" s="1"/>
      <c r="D5" s="1"/>
      <c r="E5" s="1"/>
      <c r="F5" s="1"/>
      <c r="G5" s="1"/>
      <c r="H5" s="1"/>
      <c r="I5" s="29" t="s">
        <v>23</v>
      </c>
      <c r="J5" s="29"/>
      <c r="K5" s="29"/>
      <c r="L5" s="29"/>
      <c r="M5" s="29"/>
      <c r="N5" s="29"/>
      <c r="O5" s="29"/>
      <c r="P5" s="29" t="s">
        <v>35</v>
      </c>
      <c r="Q5" s="29"/>
      <c r="R5" s="1"/>
      <c r="S5" s="1"/>
      <c r="T5" s="1"/>
      <c r="U5" s="1"/>
      <c r="V5" s="1"/>
      <c r="W5" s="1"/>
      <c r="X5" s="1"/>
      <c r="Y5" s="1"/>
    </row>
    <row r="6" spans="2:26" ht="17.600000000000001">
      <c r="B6" s="3"/>
      <c r="C6" s="3"/>
      <c r="D6" s="3"/>
      <c r="E6" s="3"/>
      <c r="F6" s="3"/>
      <c r="G6" s="3"/>
      <c r="H6" s="3"/>
      <c r="I6" s="3"/>
      <c r="J6" s="3"/>
      <c r="K6" s="3"/>
      <c r="L6" s="3"/>
      <c r="M6" s="3"/>
      <c r="N6" s="3"/>
      <c r="O6" s="3"/>
      <c r="P6" s="29" t="s">
        <v>26</v>
      </c>
      <c r="Q6" s="3"/>
      <c r="R6" s="3"/>
      <c r="S6" s="3"/>
      <c r="T6" s="3"/>
      <c r="U6" s="3"/>
      <c r="V6" s="3"/>
      <c r="W6" s="3"/>
      <c r="X6" s="3"/>
      <c r="Y6" s="3"/>
    </row>
    <row r="7" spans="2:26">
      <c r="P7" s="28" t="s">
        <v>28</v>
      </c>
    </row>
    <row r="8" spans="2:26" ht="14.6" thickBot="1">
      <c r="B8" s="4" t="s">
        <v>5</v>
      </c>
      <c r="C8" s="4"/>
      <c r="D8" s="4"/>
      <c r="E8" s="4"/>
      <c r="F8" s="4"/>
      <c r="G8" s="4"/>
      <c r="H8" s="4"/>
      <c r="I8" s="4"/>
      <c r="J8" s="4"/>
      <c r="K8" s="4"/>
      <c r="L8" s="4"/>
      <c r="M8" s="4"/>
      <c r="N8" s="4"/>
      <c r="O8" s="4"/>
      <c r="P8" s="30" t="s">
        <v>29</v>
      </c>
      <c r="Q8" s="4"/>
      <c r="R8" s="4"/>
      <c r="S8" s="4"/>
      <c r="T8" s="4"/>
      <c r="U8" s="4"/>
      <c r="V8" s="4"/>
      <c r="W8" s="4"/>
      <c r="X8" s="4"/>
      <c r="Y8" s="4"/>
    </row>
    <row r="9" spans="2:26">
      <c r="B9" s="40" t="s">
        <v>0</v>
      </c>
      <c r="C9" s="41"/>
      <c r="D9" s="42" t="s">
        <v>1</v>
      </c>
      <c r="E9" s="43"/>
      <c r="F9" s="43"/>
      <c r="G9" s="43"/>
      <c r="H9" s="43"/>
      <c r="I9" s="43"/>
      <c r="J9" s="43"/>
      <c r="K9" s="43"/>
      <c r="L9" s="43"/>
      <c r="M9" s="43"/>
      <c r="N9" s="43"/>
      <c r="O9" s="43"/>
      <c r="P9" s="43"/>
      <c r="Q9" s="43"/>
      <c r="R9" s="43"/>
      <c r="S9" s="43"/>
      <c r="T9" s="43"/>
      <c r="U9" s="43"/>
      <c r="V9" s="43"/>
      <c r="W9" s="43"/>
      <c r="X9" s="43"/>
      <c r="Y9" s="44"/>
    </row>
    <row r="10" spans="2:26">
      <c r="B10" s="45" t="s">
        <v>2</v>
      </c>
      <c r="C10" s="46"/>
      <c r="D10" s="5">
        <v>1</v>
      </c>
      <c r="E10" s="6">
        <v>51</v>
      </c>
      <c r="F10" s="6">
        <v>101</v>
      </c>
      <c r="G10" s="6">
        <v>151</v>
      </c>
      <c r="H10" s="6">
        <v>201</v>
      </c>
      <c r="I10" s="6">
        <v>251</v>
      </c>
      <c r="J10" s="6">
        <v>301</v>
      </c>
      <c r="K10" s="6">
        <v>351</v>
      </c>
      <c r="L10" s="6">
        <v>401</v>
      </c>
      <c r="M10" s="6">
        <v>451</v>
      </c>
      <c r="N10" s="6">
        <v>501</v>
      </c>
      <c r="O10" s="6">
        <v>551</v>
      </c>
      <c r="P10" s="6">
        <v>601</v>
      </c>
      <c r="Q10" s="6">
        <v>651</v>
      </c>
      <c r="R10" s="6">
        <v>701</v>
      </c>
      <c r="S10" s="6">
        <v>751</v>
      </c>
      <c r="T10" s="6">
        <v>801</v>
      </c>
      <c r="U10" s="6">
        <v>851</v>
      </c>
      <c r="V10" s="6">
        <v>901</v>
      </c>
      <c r="W10" s="6">
        <v>951</v>
      </c>
      <c r="X10" s="6">
        <v>1001</v>
      </c>
      <c r="Y10" s="7">
        <v>1051</v>
      </c>
    </row>
    <row r="11" spans="2:26" ht="12.9" thickBot="1">
      <c r="B11" s="47"/>
      <c r="C11" s="48"/>
      <c r="D11" s="8">
        <v>50</v>
      </c>
      <c r="E11" s="9">
        <v>100</v>
      </c>
      <c r="F11" s="9">
        <v>150</v>
      </c>
      <c r="G11" s="9">
        <v>200</v>
      </c>
      <c r="H11" s="9">
        <v>250</v>
      </c>
      <c r="I11" s="9">
        <v>300</v>
      </c>
      <c r="J11" s="9">
        <v>350</v>
      </c>
      <c r="K11" s="9">
        <v>400</v>
      </c>
      <c r="L11" s="9">
        <v>450</v>
      </c>
      <c r="M11" s="9">
        <v>500</v>
      </c>
      <c r="N11" s="9">
        <v>550</v>
      </c>
      <c r="O11" s="9">
        <v>600</v>
      </c>
      <c r="P11" s="9">
        <v>650</v>
      </c>
      <c r="Q11" s="9">
        <v>700</v>
      </c>
      <c r="R11" s="9">
        <v>750</v>
      </c>
      <c r="S11" s="9">
        <v>800</v>
      </c>
      <c r="T11" s="9">
        <v>850</v>
      </c>
      <c r="U11" s="9">
        <v>900</v>
      </c>
      <c r="V11" s="9">
        <v>950</v>
      </c>
      <c r="W11" s="9">
        <v>1000</v>
      </c>
      <c r="X11" s="9">
        <v>1050</v>
      </c>
      <c r="Y11" s="10">
        <v>1100</v>
      </c>
    </row>
    <row r="12" spans="2:26">
      <c r="B12" s="11">
        <v>1</v>
      </c>
      <c r="C12" s="12">
        <v>50</v>
      </c>
      <c r="D12" s="13">
        <v>2.4300000000000002</v>
      </c>
      <c r="E12" s="14">
        <v>2.58</v>
      </c>
      <c r="F12" s="14">
        <v>2.76</v>
      </c>
      <c r="G12" s="14">
        <v>2.93</v>
      </c>
      <c r="H12" s="14">
        <v>3.07</v>
      </c>
      <c r="I12" s="14">
        <v>3.26</v>
      </c>
      <c r="J12" s="14">
        <v>3.4</v>
      </c>
      <c r="K12" s="14">
        <v>3.59</v>
      </c>
      <c r="L12" s="14">
        <v>3.72</v>
      </c>
      <c r="M12" s="14">
        <v>3.91</v>
      </c>
      <c r="N12" s="14">
        <v>4.05</v>
      </c>
      <c r="O12" s="14">
        <v>4.22</v>
      </c>
      <c r="P12" s="14">
        <v>4.38</v>
      </c>
      <c r="Q12" s="14">
        <v>4.55</v>
      </c>
      <c r="R12" s="14">
        <v>4.71</v>
      </c>
      <c r="S12" s="14">
        <v>4.88</v>
      </c>
      <c r="T12" s="14">
        <v>5.01</v>
      </c>
      <c r="U12" s="14">
        <v>5.2</v>
      </c>
      <c r="V12" s="14">
        <v>5.34</v>
      </c>
      <c r="W12" s="14">
        <v>5.53</v>
      </c>
      <c r="X12" s="14">
        <v>5.68</v>
      </c>
      <c r="Y12" s="15">
        <v>5.83</v>
      </c>
    </row>
    <row r="13" spans="2:26">
      <c r="B13" s="16">
        <f>C12+1</f>
        <v>51</v>
      </c>
      <c r="C13" s="17">
        <v>70</v>
      </c>
      <c r="D13" s="18">
        <v>2.5099999999999998</v>
      </c>
      <c r="E13" s="19">
        <v>2.71</v>
      </c>
      <c r="F13" s="19">
        <v>2.9</v>
      </c>
      <c r="G13" s="19">
        <v>3.09</v>
      </c>
      <c r="H13" s="19">
        <v>3.29</v>
      </c>
      <c r="I13" s="19">
        <v>3.48</v>
      </c>
      <c r="J13" s="19">
        <v>3.66</v>
      </c>
      <c r="K13" s="19">
        <v>3.86</v>
      </c>
      <c r="L13" s="19">
        <v>4.07</v>
      </c>
      <c r="M13" s="19">
        <v>4.28</v>
      </c>
      <c r="N13" s="19">
        <v>4.46</v>
      </c>
      <c r="O13" s="19">
        <v>4.6500000000000004</v>
      </c>
      <c r="P13" s="19">
        <v>4.8600000000000003</v>
      </c>
      <c r="Q13" s="19">
        <v>5.03</v>
      </c>
      <c r="R13" s="19">
        <v>5.23</v>
      </c>
      <c r="S13" s="19">
        <v>5.44</v>
      </c>
      <c r="T13" s="19">
        <v>5.63</v>
      </c>
      <c r="U13" s="19">
        <v>5.82</v>
      </c>
      <c r="V13" s="19">
        <v>6.04</v>
      </c>
      <c r="W13" s="19">
        <v>6.23</v>
      </c>
      <c r="X13" s="19">
        <v>6.42</v>
      </c>
      <c r="Y13" s="20">
        <v>6.62</v>
      </c>
    </row>
    <row r="14" spans="2:26">
      <c r="B14" s="16">
        <f t="shared" ref="B14:B43" si="0">C13+1</f>
        <v>71</v>
      </c>
      <c r="C14" s="17">
        <v>100</v>
      </c>
      <c r="D14" s="18">
        <v>2.71</v>
      </c>
      <c r="E14" s="19">
        <v>2.99</v>
      </c>
      <c r="F14" s="19">
        <v>3.26</v>
      </c>
      <c r="G14" s="19">
        <v>3.55</v>
      </c>
      <c r="H14" s="19">
        <v>3.79</v>
      </c>
      <c r="I14" s="19">
        <v>4.07</v>
      </c>
      <c r="J14" s="19">
        <v>4.3600000000000003</v>
      </c>
      <c r="K14" s="19">
        <v>4.63</v>
      </c>
      <c r="L14" s="19">
        <v>4.91</v>
      </c>
      <c r="M14" s="19">
        <v>5.18</v>
      </c>
      <c r="N14" s="19">
        <v>5.48</v>
      </c>
      <c r="O14" s="19">
        <v>5.73</v>
      </c>
      <c r="P14" s="19">
        <v>6.02</v>
      </c>
      <c r="Q14" s="19">
        <v>6.32</v>
      </c>
      <c r="R14" s="19">
        <v>6.56</v>
      </c>
      <c r="S14" s="19">
        <v>6.84</v>
      </c>
      <c r="T14" s="19">
        <v>7.12</v>
      </c>
      <c r="U14" s="19">
        <v>7.4</v>
      </c>
      <c r="V14" s="19">
        <v>7.67</v>
      </c>
      <c r="W14" s="19">
        <v>7.95</v>
      </c>
      <c r="X14" s="19">
        <v>8.24</v>
      </c>
      <c r="Y14" s="20">
        <v>8.51</v>
      </c>
    </row>
    <row r="15" spans="2:26">
      <c r="B15" s="16">
        <f t="shared" si="0"/>
        <v>101</v>
      </c>
      <c r="C15" s="17">
        <v>150</v>
      </c>
      <c r="D15" s="18">
        <v>3.01</v>
      </c>
      <c r="E15" s="19">
        <v>3.42</v>
      </c>
      <c r="F15" s="19">
        <v>3.81</v>
      </c>
      <c r="G15" s="19">
        <v>4.24</v>
      </c>
      <c r="H15" s="19">
        <v>4.63</v>
      </c>
      <c r="I15" s="19">
        <v>5.03</v>
      </c>
      <c r="J15" s="19">
        <v>5.46</v>
      </c>
      <c r="K15" s="19">
        <v>5.85</v>
      </c>
      <c r="L15" s="19">
        <v>6.26</v>
      </c>
      <c r="M15" s="19">
        <v>6.67</v>
      </c>
      <c r="N15" s="19">
        <v>7.07</v>
      </c>
      <c r="O15" s="19">
        <v>7.48</v>
      </c>
      <c r="P15" s="19">
        <v>7.89</v>
      </c>
      <c r="Q15" s="19">
        <v>8.3000000000000007</v>
      </c>
      <c r="R15" s="19">
        <v>8.69</v>
      </c>
      <c r="S15" s="19">
        <v>9.1</v>
      </c>
      <c r="T15" s="19">
        <v>9.51</v>
      </c>
      <c r="U15" s="19">
        <v>9.9</v>
      </c>
      <c r="V15" s="19">
        <v>10.33</v>
      </c>
      <c r="W15" s="19">
        <v>10.73</v>
      </c>
      <c r="X15" s="19">
        <v>11.12</v>
      </c>
      <c r="Y15" s="20">
        <v>11.55</v>
      </c>
    </row>
    <row r="16" spans="2:26">
      <c r="B16" s="16">
        <f t="shared" si="0"/>
        <v>151</v>
      </c>
      <c r="C16" s="17">
        <v>200</v>
      </c>
      <c r="D16" s="18">
        <v>3.38</v>
      </c>
      <c r="E16" s="19">
        <v>3.96</v>
      </c>
      <c r="F16" s="19">
        <v>4.53</v>
      </c>
      <c r="G16" s="19">
        <v>5.0999999999999996</v>
      </c>
      <c r="H16" s="19">
        <v>5.68</v>
      </c>
      <c r="I16" s="31">
        <v>6.25</v>
      </c>
      <c r="J16" s="19">
        <v>6.8</v>
      </c>
      <c r="K16" s="19">
        <v>7.38</v>
      </c>
      <c r="L16" s="19">
        <v>7.95</v>
      </c>
      <c r="M16" s="19">
        <v>8.51</v>
      </c>
      <c r="N16" s="19">
        <v>9.08</v>
      </c>
      <c r="O16" s="19">
        <v>9.66</v>
      </c>
      <c r="P16" s="19">
        <v>10.23</v>
      </c>
      <c r="Q16" s="19">
        <v>10.78</v>
      </c>
      <c r="R16" s="19">
        <v>11.36</v>
      </c>
      <c r="S16" s="19">
        <v>11.93</v>
      </c>
      <c r="T16" s="19">
        <v>12.51</v>
      </c>
      <c r="U16" s="19">
        <v>13.06</v>
      </c>
      <c r="V16" s="19">
        <v>13.64</v>
      </c>
      <c r="W16" s="19">
        <v>14.21</v>
      </c>
      <c r="X16" s="19">
        <v>14.76</v>
      </c>
      <c r="Y16" s="20">
        <v>15.34</v>
      </c>
    </row>
    <row r="17" spans="2:25">
      <c r="B17" s="16">
        <f t="shared" si="0"/>
        <v>201</v>
      </c>
      <c r="C17" s="17">
        <v>250</v>
      </c>
      <c r="D17" s="18">
        <v>3.76</v>
      </c>
      <c r="E17" s="19">
        <v>4.5</v>
      </c>
      <c r="F17" s="19">
        <v>5.23</v>
      </c>
      <c r="G17" s="19">
        <v>5.99</v>
      </c>
      <c r="H17" s="19">
        <v>6.71</v>
      </c>
      <c r="I17" s="19">
        <v>7.43</v>
      </c>
      <c r="J17" s="19">
        <v>8.19</v>
      </c>
      <c r="K17" s="19">
        <v>8.89</v>
      </c>
      <c r="L17" s="19">
        <v>9.6300000000000008</v>
      </c>
      <c r="M17" s="19">
        <v>10.35</v>
      </c>
      <c r="N17" s="19">
        <v>11.09</v>
      </c>
      <c r="O17" s="19">
        <v>11.83</v>
      </c>
      <c r="P17" s="31">
        <v>12.56</v>
      </c>
      <c r="Q17" s="19">
        <v>13.27</v>
      </c>
      <c r="R17" s="19">
        <v>14.02</v>
      </c>
      <c r="S17" s="19">
        <v>14.74</v>
      </c>
      <c r="T17" s="19">
        <v>15.5</v>
      </c>
      <c r="U17" s="19">
        <v>16.22</v>
      </c>
      <c r="V17" s="19">
        <v>16.95</v>
      </c>
      <c r="W17" s="19">
        <v>17.68</v>
      </c>
      <c r="X17" s="19">
        <v>18.399999999999999</v>
      </c>
      <c r="Y17" s="20">
        <v>19.12</v>
      </c>
    </row>
    <row r="18" spans="2:25">
      <c r="B18" s="16">
        <f t="shared" si="0"/>
        <v>251</v>
      </c>
      <c r="C18" s="17">
        <v>300</v>
      </c>
      <c r="D18" s="18">
        <v>4.17</v>
      </c>
      <c r="E18" s="19">
        <v>5.0599999999999996</v>
      </c>
      <c r="F18" s="19">
        <v>5.94</v>
      </c>
      <c r="G18" s="19">
        <v>6.84</v>
      </c>
      <c r="H18" s="19">
        <v>7.72</v>
      </c>
      <c r="I18" s="19">
        <v>8.6300000000000008</v>
      </c>
      <c r="J18" s="19">
        <v>9.5299999999999994</v>
      </c>
      <c r="K18" s="19">
        <v>10.41</v>
      </c>
      <c r="L18" s="19">
        <v>11.31</v>
      </c>
      <c r="M18" s="19">
        <v>12.22</v>
      </c>
      <c r="N18" s="19">
        <v>13.1</v>
      </c>
      <c r="O18" s="19">
        <v>14</v>
      </c>
      <c r="P18" s="19">
        <v>14.9</v>
      </c>
      <c r="Q18" s="19">
        <v>15.79</v>
      </c>
      <c r="R18" s="19">
        <v>16.670000000000002</v>
      </c>
      <c r="S18" s="19">
        <v>17.57</v>
      </c>
      <c r="T18" s="19">
        <v>18.47</v>
      </c>
      <c r="U18" s="19">
        <v>19.36</v>
      </c>
      <c r="V18" s="19">
        <v>20.27</v>
      </c>
      <c r="W18" s="19">
        <v>21.14</v>
      </c>
      <c r="X18" s="19">
        <v>22.05</v>
      </c>
      <c r="Y18" s="20">
        <v>22.95</v>
      </c>
    </row>
    <row r="19" spans="2:25">
      <c r="B19" s="16">
        <f t="shared" si="0"/>
        <v>301</v>
      </c>
      <c r="C19" s="17">
        <v>350</v>
      </c>
      <c r="D19" s="18">
        <v>4.53</v>
      </c>
      <c r="E19" s="19">
        <v>5.61</v>
      </c>
      <c r="F19" s="19">
        <v>6.66</v>
      </c>
      <c r="G19" s="19">
        <v>7.7</v>
      </c>
      <c r="H19" s="19">
        <v>8.7899999999999991</v>
      </c>
      <c r="I19" s="19">
        <v>9.83</v>
      </c>
      <c r="J19" s="19">
        <v>10.9</v>
      </c>
      <c r="K19" s="19">
        <v>11.94</v>
      </c>
      <c r="L19" s="19">
        <v>12.99</v>
      </c>
      <c r="M19" s="19">
        <v>14.06</v>
      </c>
      <c r="N19" s="19">
        <v>15.1</v>
      </c>
      <c r="O19" s="19">
        <v>16.18</v>
      </c>
      <c r="P19" s="19">
        <v>17.21</v>
      </c>
      <c r="Q19" s="19">
        <v>18.3</v>
      </c>
      <c r="R19" s="19">
        <v>19.34</v>
      </c>
      <c r="S19" s="19">
        <v>20.39</v>
      </c>
      <c r="T19" s="19">
        <v>21.45</v>
      </c>
      <c r="U19" s="19">
        <v>22.52</v>
      </c>
      <c r="V19" s="19">
        <v>23.57</v>
      </c>
      <c r="W19" s="19">
        <v>24.61</v>
      </c>
      <c r="X19" s="19">
        <v>25.68</v>
      </c>
      <c r="Y19" s="20">
        <v>26.72</v>
      </c>
    </row>
    <row r="20" spans="2:25">
      <c r="B20" s="16">
        <f t="shared" si="0"/>
        <v>351</v>
      </c>
      <c r="C20" s="17">
        <v>400</v>
      </c>
      <c r="D20" s="18">
        <v>4.91</v>
      </c>
      <c r="E20" s="19">
        <v>6.15</v>
      </c>
      <c r="F20" s="19">
        <v>7.36</v>
      </c>
      <c r="G20" s="19">
        <v>8.58</v>
      </c>
      <c r="H20" s="19">
        <v>9.8000000000000007</v>
      </c>
      <c r="I20" s="19">
        <v>11</v>
      </c>
      <c r="J20" s="19">
        <v>12.26</v>
      </c>
      <c r="K20" s="19">
        <v>13.47</v>
      </c>
      <c r="L20" s="19">
        <v>14.69</v>
      </c>
      <c r="M20" s="19">
        <v>15.91</v>
      </c>
      <c r="N20" s="19">
        <v>17.12</v>
      </c>
      <c r="O20" s="19">
        <v>18.329999999999998</v>
      </c>
      <c r="P20" s="19">
        <v>19.57</v>
      </c>
      <c r="Q20" s="19">
        <v>20.78</v>
      </c>
      <c r="R20" s="19">
        <v>22</v>
      </c>
      <c r="S20" s="19">
        <v>23.22</v>
      </c>
      <c r="T20" s="19">
        <v>24.42</v>
      </c>
      <c r="U20" s="19">
        <v>25.66</v>
      </c>
      <c r="V20" s="19">
        <v>26.89</v>
      </c>
      <c r="W20" s="19">
        <v>28.11</v>
      </c>
      <c r="X20" s="19">
        <v>29.33</v>
      </c>
      <c r="Y20" s="20">
        <v>30.54</v>
      </c>
    </row>
    <row r="21" spans="2:25">
      <c r="B21" s="16">
        <f t="shared" si="0"/>
        <v>401</v>
      </c>
      <c r="C21" s="17">
        <v>450</v>
      </c>
      <c r="D21" s="18">
        <v>5.29</v>
      </c>
      <c r="E21" s="19">
        <v>6.69</v>
      </c>
      <c r="F21" s="19">
        <v>8.07</v>
      </c>
      <c r="G21" s="19">
        <v>9.4600000000000009</v>
      </c>
      <c r="H21" s="19">
        <v>10.84</v>
      </c>
      <c r="I21" s="19">
        <v>12.22</v>
      </c>
      <c r="J21" s="19">
        <v>13.61</v>
      </c>
      <c r="K21" s="19">
        <v>14.99</v>
      </c>
      <c r="L21" s="19">
        <v>16.36</v>
      </c>
      <c r="M21" s="19">
        <v>17.73</v>
      </c>
      <c r="N21" s="19">
        <v>19.12</v>
      </c>
      <c r="O21" s="19">
        <v>20.51</v>
      </c>
      <c r="P21" s="19">
        <v>21.9</v>
      </c>
      <c r="Q21" s="19">
        <v>23.27</v>
      </c>
      <c r="R21" s="19">
        <v>24.68</v>
      </c>
      <c r="S21" s="19">
        <v>26.04</v>
      </c>
      <c r="T21" s="19">
        <v>27.44</v>
      </c>
      <c r="U21" s="19">
        <v>28.8</v>
      </c>
      <c r="V21" s="19">
        <v>30.2</v>
      </c>
      <c r="W21" s="19">
        <v>31.56</v>
      </c>
      <c r="X21" s="19">
        <v>32.97</v>
      </c>
      <c r="Y21" s="20">
        <v>34.31</v>
      </c>
    </row>
    <row r="22" spans="2:25">
      <c r="B22" s="16">
        <f t="shared" si="0"/>
        <v>451</v>
      </c>
      <c r="C22" s="17">
        <v>500</v>
      </c>
      <c r="D22" s="18">
        <v>5.68</v>
      </c>
      <c r="E22" s="19">
        <v>7.26</v>
      </c>
      <c r="F22" s="19">
        <v>8.8000000000000007</v>
      </c>
      <c r="G22" s="19">
        <v>10.33</v>
      </c>
      <c r="H22" s="19">
        <v>11.87</v>
      </c>
      <c r="I22" s="19">
        <v>13.42</v>
      </c>
      <c r="J22" s="19">
        <v>14.97</v>
      </c>
      <c r="K22" s="19">
        <v>16.510000000000002</v>
      </c>
      <c r="L22" s="19">
        <v>18.05</v>
      </c>
      <c r="M22" s="19">
        <v>19.600000000000001</v>
      </c>
      <c r="N22" s="19">
        <v>21.14</v>
      </c>
      <c r="O22" s="19">
        <v>22.69</v>
      </c>
      <c r="P22" s="19">
        <v>24.24</v>
      </c>
      <c r="Q22" s="19">
        <v>25.78</v>
      </c>
      <c r="R22" s="19">
        <v>27.32</v>
      </c>
      <c r="S22" s="19">
        <v>28.85</v>
      </c>
      <c r="T22" s="19">
        <v>30.39</v>
      </c>
      <c r="U22" s="19">
        <v>31.94</v>
      </c>
      <c r="V22" s="19">
        <v>33.5</v>
      </c>
      <c r="W22" s="19">
        <v>35.03</v>
      </c>
      <c r="X22" s="19">
        <v>36.57</v>
      </c>
      <c r="Y22" s="20">
        <v>38.15</v>
      </c>
    </row>
    <row r="23" spans="2:25">
      <c r="B23" s="16">
        <f t="shared" si="0"/>
        <v>501</v>
      </c>
      <c r="C23" s="17">
        <v>600</v>
      </c>
      <c r="D23" s="18">
        <v>6.25</v>
      </c>
      <c r="E23" s="19">
        <v>8.0500000000000007</v>
      </c>
      <c r="F23" s="19">
        <v>9.85</v>
      </c>
      <c r="G23" s="19">
        <v>11.64</v>
      </c>
      <c r="H23" s="19">
        <v>13.44</v>
      </c>
      <c r="I23" s="19">
        <v>15.21</v>
      </c>
      <c r="J23" s="19">
        <v>17.010000000000002</v>
      </c>
      <c r="K23" s="19">
        <v>18.78</v>
      </c>
      <c r="L23" s="19">
        <v>20.58</v>
      </c>
      <c r="M23" s="19">
        <v>22.35</v>
      </c>
      <c r="N23" s="19">
        <v>24.17</v>
      </c>
      <c r="O23" s="19">
        <v>25.95</v>
      </c>
      <c r="P23" s="19">
        <v>27.74</v>
      </c>
      <c r="Q23" s="19">
        <v>29.52</v>
      </c>
      <c r="R23" s="19">
        <v>31.31</v>
      </c>
      <c r="S23" s="19">
        <v>33.1</v>
      </c>
      <c r="T23" s="19">
        <v>34.89</v>
      </c>
      <c r="U23" s="19">
        <v>36.69</v>
      </c>
      <c r="V23" s="19">
        <v>38.46</v>
      </c>
      <c r="W23" s="19">
        <v>40.26</v>
      </c>
      <c r="X23" s="19">
        <v>42.03</v>
      </c>
      <c r="Y23" s="20">
        <v>43.83</v>
      </c>
    </row>
    <row r="24" spans="2:25">
      <c r="B24" s="16">
        <f t="shared" si="0"/>
        <v>601</v>
      </c>
      <c r="C24" s="17">
        <v>700</v>
      </c>
      <c r="D24" s="18">
        <v>7.01</v>
      </c>
      <c r="E24" s="19">
        <v>9.16</v>
      </c>
      <c r="F24" s="19">
        <v>11.27</v>
      </c>
      <c r="G24" s="19">
        <v>13.38</v>
      </c>
      <c r="H24" s="19">
        <v>15.51</v>
      </c>
      <c r="I24" s="19">
        <v>17.63</v>
      </c>
      <c r="J24" s="19">
        <v>19.7</v>
      </c>
      <c r="K24" s="19">
        <v>21.83</v>
      </c>
      <c r="L24" s="19">
        <v>23.94</v>
      </c>
      <c r="M24" s="19">
        <v>26.05</v>
      </c>
      <c r="N24" s="19">
        <v>28.18</v>
      </c>
      <c r="O24" s="19">
        <v>30.29</v>
      </c>
      <c r="P24" s="19">
        <v>32.409999999999997</v>
      </c>
      <c r="Q24" s="19">
        <v>34.520000000000003</v>
      </c>
      <c r="R24" s="19">
        <v>36.630000000000003</v>
      </c>
      <c r="S24" s="19">
        <v>38.770000000000003</v>
      </c>
      <c r="T24" s="19">
        <v>40.86</v>
      </c>
      <c r="U24" s="19">
        <v>42.97</v>
      </c>
      <c r="V24" s="19">
        <v>45.08</v>
      </c>
      <c r="W24" s="19">
        <v>47.2</v>
      </c>
      <c r="X24" s="19">
        <v>49.31</v>
      </c>
      <c r="Y24" s="20">
        <v>51.44</v>
      </c>
    </row>
    <row r="25" spans="2:25">
      <c r="B25" s="16">
        <f t="shared" si="0"/>
        <v>701</v>
      </c>
      <c r="C25" s="17">
        <v>800</v>
      </c>
      <c r="D25" s="18">
        <v>7.76</v>
      </c>
      <c r="E25" s="19">
        <v>10.24</v>
      </c>
      <c r="F25" s="19">
        <v>12.67</v>
      </c>
      <c r="G25" s="19">
        <v>15.12</v>
      </c>
      <c r="H25" s="19">
        <v>17.57</v>
      </c>
      <c r="I25" s="19">
        <v>20</v>
      </c>
      <c r="J25" s="19">
        <v>22.43</v>
      </c>
      <c r="K25" s="19">
        <v>24.87</v>
      </c>
      <c r="L25" s="19">
        <v>27.31</v>
      </c>
      <c r="M25" s="19">
        <v>29.76</v>
      </c>
      <c r="N25" s="19">
        <v>32.200000000000003</v>
      </c>
      <c r="O25" s="19">
        <v>34.630000000000003</v>
      </c>
      <c r="P25" s="19">
        <v>37.07</v>
      </c>
      <c r="Q25" s="19">
        <v>39.51</v>
      </c>
      <c r="R25" s="19">
        <v>41.96</v>
      </c>
      <c r="S25" s="19">
        <v>44.39</v>
      </c>
      <c r="T25" s="19">
        <v>46.84</v>
      </c>
      <c r="U25" s="19">
        <v>49.27</v>
      </c>
      <c r="V25" s="19">
        <v>51.69</v>
      </c>
      <c r="W25" s="19">
        <v>54.15</v>
      </c>
      <c r="X25" s="19">
        <v>56.6</v>
      </c>
      <c r="Y25" s="20">
        <v>59.02</v>
      </c>
    </row>
    <row r="26" spans="2:25">
      <c r="B26" s="16">
        <f t="shared" si="0"/>
        <v>801</v>
      </c>
      <c r="C26" s="17">
        <v>900</v>
      </c>
      <c r="D26" s="18">
        <v>8.5399999999999991</v>
      </c>
      <c r="E26" s="19">
        <v>11.34</v>
      </c>
      <c r="F26" s="19">
        <v>14.11</v>
      </c>
      <c r="G26" s="19">
        <v>16.87</v>
      </c>
      <c r="H26" s="19">
        <v>19.649999999999999</v>
      </c>
      <c r="I26" s="19">
        <v>22.39</v>
      </c>
      <c r="J26" s="19">
        <v>25.16</v>
      </c>
      <c r="K26" s="19">
        <v>27.92</v>
      </c>
      <c r="L26" s="19">
        <v>30.69</v>
      </c>
      <c r="M26" s="19">
        <v>33.450000000000003</v>
      </c>
      <c r="N26" s="19">
        <v>36.229999999999997</v>
      </c>
      <c r="O26" s="19">
        <v>38.99</v>
      </c>
      <c r="P26" s="19">
        <v>41.74</v>
      </c>
      <c r="Q26" s="19">
        <v>44.5</v>
      </c>
      <c r="R26" s="19">
        <v>47.27</v>
      </c>
      <c r="S26" s="19">
        <v>50.03</v>
      </c>
      <c r="T26" s="19">
        <v>52.8</v>
      </c>
      <c r="U26" s="19">
        <v>55.57</v>
      </c>
      <c r="V26" s="19">
        <v>58.32</v>
      </c>
      <c r="W26" s="19">
        <v>61.08</v>
      </c>
      <c r="X26" s="19">
        <v>63.86</v>
      </c>
      <c r="Y26" s="20">
        <v>66.63</v>
      </c>
    </row>
    <row r="27" spans="2:25">
      <c r="B27" s="16">
        <f t="shared" si="0"/>
        <v>901</v>
      </c>
      <c r="C27" s="17">
        <v>1000</v>
      </c>
      <c r="D27" s="18">
        <v>9.2899999999999991</v>
      </c>
      <c r="E27" s="19">
        <v>12.43</v>
      </c>
      <c r="F27" s="19">
        <v>15.53</v>
      </c>
      <c r="G27" s="19">
        <v>18.62</v>
      </c>
      <c r="H27" s="19">
        <v>21.7</v>
      </c>
      <c r="I27" s="19">
        <v>24.8</v>
      </c>
      <c r="J27" s="19">
        <v>27.87</v>
      </c>
      <c r="K27" s="19">
        <v>30.96</v>
      </c>
      <c r="L27" s="19">
        <v>34.049999999999997</v>
      </c>
      <c r="M27" s="19">
        <v>37.14</v>
      </c>
      <c r="N27" s="19">
        <v>40.24</v>
      </c>
      <c r="O27" s="19">
        <v>43.34</v>
      </c>
      <c r="P27" s="19">
        <v>46.41</v>
      </c>
      <c r="Q27" s="19">
        <v>49.51</v>
      </c>
      <c r="R27" s="19">
        <v>52.59</v>
      </c>
      <c r="S27" s="19">
        <v>55.68</v>
      </c>
      <c r="T27" s="19">
        <v>58.78</v>
      </c>
      <c r="U27" s="19">
        <v>61.87</v>
      </c>
      <c r="V27" s="19">
        <v>64.95</v>
      </c>
      <c r="W27" s="19">
        <v>68.03</v>
      </c>
      <c r="X27" s="19">
        <v>71.12</v>
      </c>
      <c r="Y27" s="20">
        <v>74.209999999999994</v>
      </c>
    </row>
    <row r="28" spans="2:25">
      <c r="B28" s="21">
        <f t="shared" si="0"/>
        <v>1001</v>
      </c>
      <c r="C28" s="17">
        <v>1250</v>
      </c>
      <c r="D28" s="18">
        <v>10.64</v>
      </c>
      <c r="E28" s="19">
        <v>14.33</v>
      </c>
      <c r="F28" s="19">
        <v>18.02</v>
      </c>
      <c r="G28" s="19">
        <v>21.66</v>
      </c>
      <c r="H28" s="19">
        <v>25.33</v>
      </c>
      <c r="I28" s="19">
        <v>28.99</v>
      </c>
      <c r="J28" s="19">
        <v>32.659999999999997</v>
      </c>
      <c r="K28" s="19">
        <v>36.32</v>
      </c>
      <c r="L28" s="19">
        <v>39.94</v>
      </c>
      <c r="M28" s="19">
        <v>43.61</v>
      </c>
      <c r="N28" s="19">
        <v>47.27</v>
      </c>
      <c r="O28" s="19">
        <v>50.94</v>
      </c>
      <c r="P28" s="19">
        <v>54.58</v>
      </c>
      <c r="Q28" s="19">
        <v>58.25</v>
      </c>
      <c r="R28" s="19">
        <v>61.9</v>
      </c>
      <c r="S28" s="19">
        <v>65.56</v>
      </c>
      <c r="T28" s="19">
        <v>69.209999999999994</v>
      </c>
      <c r="U28" s="19">
        <v>72.89</v>
      </c>
      <c r="V28" s="19">
        <v>76.53</v>
      </c>
      <c r="W28" s="19">
        <v>80.2</v>
      </c>
      <c r="X28" s="19">
        <v>83.84</v>
      </c>
      <c r="Y28" s="20">
        <v>87.53</v>
      </c>
    </row>
    <row r="29" spans="2:25">
      <c r="B29" s="21">
        <f t="shared" si="0"/>
        <v>1251</v>
      </c>
      <c r="C29" s="17">
        <v>1500</v>
      </c>
      <c r="D29" s="18">
        <v>12.54</v>
      </c>
      <c r="E29" s="19">
        <v>17.079999999999998</v>
      </c>
      <c r="F29" s="19">
        <v>21.55</v>
      </c>
      <c r="G29" s="19">
        <v>26.02</v>
      </c>
      <c r="H29" s="19">
        <v>30.5</v>
      </c>
      <c r="I29" s="19">
        <v>34.97</v>
      </c>
      <c r="J29" s="31">
        <v>39.44</v>
      </c>
      <c r="K29" s="19">
        <v>43.9</v>
      </c>
      <c r="L29" s="19">
        <v>48.37</v>
      </c>
      <c r="M29" s="19">
        <v>52.86</v>
      </c>
      <c r="N29" s="19">
        <v>57.32</v>
      </c>
      <c r="O29" s="19">
        <v>61.79</v>
      </c>
      <c r="P29" s="19">
        <v>66.260000000000005</v>
      </c>
      <c r="Q29" s="19">
        <v>70.739999999999995</v>
      </c>
      <c r="R29" s="19">
        <v>75.209999999999994</v>
      </c>
      <c r="S29" s="19">
        <v>79.650000000000006</v>
      </c>
      <c r="T29" s="19">
        <v>84.16</v>
      </c>
      <c r="U29" s="19">
        <v>88.61</v>
      </c>
      <c r="V29" s="19">
        <v>93.07</v>
      </c>
      <c r="W29" s="19">
        <v>97.58</v>
      </c>
      <c r="X29" s="19">
        <v>102.03</v>
      </c>
      <c r="Y29" s="20">
        <v>106.49</v>
      </c>
    </row>
    <row r="30" spans="2:25">
      <c r="B30" s="21">
        <f t="shared" si="0"/>
        <v>1501</v>
      </c>
      <c r="C30" s="17">
        <v>1750</v>
      </c>
      <c r="D30" s="18">
        <v>14.45</v>
      </c>
      <c r="E30" s="19">
        <v>19.809999999999999</v>
      </c>
      <c r="F30" s="19">
        <v>25.11</v>
      </c>
      <c r="G30" s="19">
        <v>30.38</v>
      </c>
      <c r="H30" s="19">
        <v>35.64</v>
      </c>
      <c r="I30" s="19">
        <v>40.97</v>
      </c>
      <c r="J30" s="19">
        <v>46.24</v>
      </c>
      <c r="K30" s="19">
        <v>51.51</v>
      </c>
      <c r="L30" s="19">
        <v>56.82</v>
      </c>
      <c r="M30" s="19">
        <v>62.09</v>
      </c>
      <c r="N30" s="19">
        <v>67.38</v>
      </c>
      <c r="O30" s="19">
        <v>72.650000000000006</v>
      </c>
      <c r="P30" s="19">
        <v>77.92</v>
      </c>
      <c r="Q30" s="19">
        <v>83.22</v>
      </c>
      <c r="R30" s="19">
        <v>88.49</v>
      </c>
      <c r="S30" s="19">
        <v>93.79</v>
      </c>
      <c r="T30" s="19">
        <v>99.08</v>
      </c>
      <c r="U30" s="19">
        <v>104.35</v>
      </c>
      <c r="V30" s="19">
        <v>109.63</v>
      </c>
      <c r="W30" s="19">
        <v>114.92</v>
      </c>
      <c r="X30" s="19">
        <v>120.24</v>
      </c>
      <c r="Y30" s="20">
        <v>125.51</v>
      </c>
    </row>
    <row r="31" spans="2:25">
      <c r="B31" s="21">
        <f t="shared" si="0"/>
        <v>1751</v>
      </c>
      <c r="C31" s="17">
        <v>2000</v>
      </c>
      <c r="D31" s="18">
        <v>16.36</v>
      </c>
      <c r="E31" s="19">
        <v>22.55</v>
      </c>
      <c r="F31" s="19">
        <v>28.65</v>
      </c>
      <c r="G31" s="19">
        <v>34.72</v>
      </c>
      <c r="H31" s="19">
        <v>40.83</v>
      </c>
      <c r="I31" s="19">
        <v>46.94</v>
      </c>
      <c r="J31" s="19">
        <v>53.03</v>
      </c>
      <c r="K31" s="19">
        <v>59.12</v>
      </c>
      <c r="L31" s="19">
        <v>65.23</v>
      </c>
      <c r="M31" s="19">
        <v>71.319999999999993</v>
      </c>
      <c r="N31" s="19">
        <v>77.44</v>
      </c>
      <c r="O31" s="19">
        <v>83.53</v>
      </c>
      <c r="P31" s="19">
        <v>89.64</v>
      </c>
      <c r="Q31" s="19">
        <v>95.71</v>
      </c>
      <c r="R31" s="19">
        <v>101.79</v>
      </c>
      <c r="S31" s="19">
        <v>107.9</v>
      </c>
      <c r="T31" s="19">
        <v>113.99</v>
      </c>
      <c r="U31" s="19">
        <v>120.1</v>
      </c>
      <c r="V31" s="19">
        <v>126.2</v>
      </c>
      <c r="W31" s="19">
        <v>132.29</v>
      </c>
      <c r="X31" s="19">
        <v>138.38</v>
      </c>
      <c r="Y31" s="20">
        <v>144.49</v>
      </c>
    </row>
    <row r="32" spans="2:25">
      <c r="B32" s="21">
        <f t="shared" si="0"/>
        <v>2001</v>
      </c>
      <c r="C32" s="17">
        <v>2250</v>
      </c>
      <c r="D32" s="18">
        <v>18.28</v>
      </c>
      <c r="E32" s="19">
        <v>25.28</v>
      </c>
      <c r="F32" s="19">
        <v>32.18</v>
      </c>
      <c r="G32" s="19">
        <v>39.1</v>
      </c>
      <c r="H32" s="19">
        <v>46</v>
      </c>
      <c r="I32" s="19">
        <v>52.93</v>
      </c>
      <c r="J32" s="19">
        <v>59.83</v>
      </c>
      <c r="K32" s="19">
        <v>66.739999999999995</v>
      </c>
      <c r="L32" s="19">
        <v>73.66</v>
      </c>
      <c r="M32" s="19">
        <v>80.56</v>
      </c>
      <c r="N32" s="19">
        <v>87.49</v>
      </c>
      <c r="O32" s="19">
        <v>94.36</v>
      </c>
      <c r="P32" s="19">
        <v>101.3</v>
      </c>
      <c r="Q32" s="19">
        <v>108.19</v>
      </c>
      <c r="R32" s="19">
        <v>115.11</v>
      </c>
      <c r="S32" s="19">
        <v>122.01</v>
      </c>
      <c r="T32" s="19">
        <v>128.94</v>
      </c>
      <c r="U32" s="19">
        <v>135.84</v>
      </c>
      <c r="V32" s="19">
        <v>142.76</v>
      </c>
      <c r="W32" s="19">
        <v>149.65</v>
      </c>
      <c r="X32" s="19">
        <v>156.57</v>
      </c>
      <c r="Y32" s="20">
        <v>163.49</v>
      </c>
    </row>
    <row r="33" spans="2:25" s="37" customFormat="1">
      <c r="B33" s="32">
        <f t="shared" si="0"/>
        <v>2251</v>
      </c>
      <c r="C33" s="33">
        <v>2500</v>
      </c>
      <c r="D33" s="34">
        <v>20.18</v>
      </c>
      <c r="E33" s="35">
        <v>27.99</v>
      </c>
      <c r="F33" s="35">
        <v>35.729999999999997</v>
      </c>
      <c r="G33" s="35">
        <v>43.47</v>
      </c>
      <c r="H33" s="35">
        <v>51.18</v>
      </c>
      <c r="I33" s="35">
        <v>58.92</v>
      </c>
      <c r="J33" s="35">
        <v>66.63</v>
      </c>
      <c r="K33" s="35">
        <v>74.349999999999994</v>
      </c>
      <c r="L33" s="35">
        <v>82.07</v>
      </c>
      <c r="M33" s="35">
        <v>89.79</v>
      </c>
      <c r="N33" s="35">
        <v>97.55</v>
      </c>
      <c r="O33" s="35">
        <v>105.24</v>
      </c>
      <c r="P33" s="35">
        <v>112.96</v>
      </c>
      <c r="Q33" s="35">
        <v>120.68</v>
      </c>
      <c r="R33" s="35">
        <v>128.4</v>
      </c>
      <c r="S33" s="35">
        <v>136.13999999999999</v>
      </c>
      <c r="T33" s="35">
        <v>143.86000000000001</v>
      </c>
      <c r="U33" s="35">
        <v>151.6</v>
      </c>
      <c r="V33" s="35">
        <v>159.30000000000001</v>
      </c>
      <c r="W33" s="35">
        <v>167.01</v>
      </c>
      <c r="X33" s="35">
        <v>174.75</v>
      </c>
      <c r="Y33" s="36">
        <v>182.47</v>
      </c>
    </row>
    <row r="34" spans="2:25">
      <c r="B34" s="21">
        <f t="shared" si="0"/>
        <v>2501</v>
      </c>
      <c r="C34" s="17">
        <v>3000</v>
      </c>
      <c r="D34" s="18">
        <v>22.55</v>
      </c>
      <c r="E34" s="19">
        <v>31.44</v>
      </c>
      <c r="F34" s="19">
        <v>40.21</v>
      </c>
      <c r="G34" s="19">
        <v>48.93</v>
      </c>
      <c r="H34" s="19">
        <v>57.68</v>
      </c>
      <c r="I34" s="19">
        <v>66.45</v>
      </c>
      <c r="J34" s="19">
        <v>75.209999999999994</v>
      </c>
      <c r="K34" s="19">
        <v>83.94</v>
      </c>
      <c r="L34" s="19">
        <v>92.71</v>
      </c>
      <c r="M34" s="19">
        <v>101.47</v>
      </c>
      <c r="N34" s="19">
        <v>110.22</v>
      </c>
      <c r="O34" s="19">
        <v>118.97</v>
      </c>
      <c r="P34" s="19">
        <v>127.73</v>
      </c>
      <c r="Q34" s="19">
        <v>136.47999999999999</v>
      </c>
      <c r="R34" s="19">
        <v>145.22999999999999</v>
      </c>
      <c r="S34" s="19">
        <v>153.99</v>
      </c>
      <c r="T34" s="19">
        <v>162.74</v>
      </c>
      <c r="U34" s="19">
        <v>171.51</v>
      </c>
      <c r="V34" s="19">
        <v>180.24</v>
      </c>
      <c r="W34" s="19">
        <v>188.98</v>
      </c>
      <c r="X34" s="19">
        <v>197.75</v>
      </c>
      <c r="Y34" s="20">
        <v>206.52</v>
      </c>
    </row>
    <row r="35" spans="2:25">
      <c r="B35" s="21">
        <f t="shared" si="0"/>
        <v>3001</v>
      </c>
      <c r="C35" s="17">
        <v>4000</v>
      </c>
      <c r="D35" s="18">
        <v>28.15</v>
      </c>
      <c r="E35" s="19">
        <v>39.450000000000003</v>
      </c>
      <c r="F35" s="19">
        <v>50.62</v>
      </c>
      <c r="G35" s="19">
        <v>61.74</v>
      </c>
      <c r="H35" s="19">
        <v>72.89</v>
      </c>
      <c r="I35" s="19">
        <v>84.02</v>
      </c>
      <c r="J35" s="19">
        <v>95.16</v>
      </c>
      <c r="K35" s="19">
        <v>106.32</v>
      </c>
      <c r="L35" s="19">
        <v>117.47</v>
      </c>
      <c r="M35" s="19">
        <v>128.58000000000001</v>
      </c>
      <c r="N35" s="19">
        <v>139.72</v>
      </c>
      <c r="O35" s="19">
        <v>150.88</v>
      </c>
      <c r="P35" s="19">
        <v>162.03</v>
      </c>
      <c r="Q35" s="19">
        <v>173.15</v>
      </c>
      <c r="R35" s="19">
        <v>184.3</v>
      </c>
      <c r="S35" s="19">
        <v>195.44</v>
      </c>
      <c r="T35" s="19">
        <v>206.59</v>
      </c>
      <c r="U35" s="19">
        <v>217.72</v>
      </c>
      <c r="V35" s="19">
        <v>228.86</v>
      </c>
      <c r="W35" s="19">
        <v>240</v>
      </c>
      <c r="X35" s="19">
        <v>251.15</v>
      </c>
      <c r="Y35" s="20">
        <v>262.29000000000002</v>
      </c>
    </row>
    <row r="36" spans="2:25">
      <c r="B36" s="21">
        <f t="shared" si="0"/>
        <v>4001</v>
      </c>
      <c r="C36" s="17">
        <v>5000</v>
      </c>
      <c r="D36" s="18">
        <v>35.61</v>
      </c>
      <c r="E36" s="19">
        <v>50.16</v>
      </c>
      <c r="F36" s="19">
        <v>64.489999999999995</v>
      </c>
      <c r="G36" s="19">
        <v>78.84</v>
      </c>
      <c r="H36" s="19">
        <v>93.15</v>
      </c>
      <c r="I36" s="19">
        <v>107.46</v>
      </c>
      <c r="J36" s="19">
        <v>121.79</v>
      </c>
      <c r="K36" s="19">
        <v>136.12</v>
      </c>
      <c r="L36" s="19">
        <v>150.44</v>
      </c>
      <c r="M36" s="19">
        <v>164.75</v>
      </c>
      <c r="N36" s="19">
        <v>179.08</v>
      </c>
      <c r="O36" s="19">
        <v>193.41</v>
      </c>
      <c r="P36" s="19">
        <v>207.72</v>
      </c>
      <c r="Q36" s="19">
        <v>222.05</v>
      </c>
      <c r="R36" s="19">
        <v>236.38</v>
      </c>
      <c r="S36" s="19">
        <v>250.71</v>
      </c>
      <c r="T36" s="19">
        <v>265.04000000000002</v>
      </c>
      <c r="U36" s="19">
        <v>279.37</v>
      </c>
      <c r="V36" s="19">
        <v>293.7</v>
      </c>
      <c r="W36" s="19">
        <v>307.99</v>
      </c>
      <c r="X36" s="19">
        <v>322.32</v>
      </c>
      <c r="Y36" s="20">
        <v>336.65</v>
      </c>
    </row>
    <row r="37" spans="2:25">
      <c r="B37" s="21">
        <f t="shared" si="0"/>
        <v>5001</v>
      </c>
      <c r="C37" s="17">
        <v>6000</v>
      </c>
      <c r="D37" s="18">
        <v>43.1</v>
      </c>
      <c r="E37" s="19">
        <v>60.87</v>
      </c>
      <c r="F37" s="19">
        <v>78.36</v>
      </c>
      <c r="G37" s="19">
        <v>95.89</v>
      </c>
      <c r="H37" s="19">
        <v>113.39</v>
      </c>
      <c r="I37" s="19">
        <v>130.9</v>
      </c>
      <c r="J37" s="19">
        <v>148.41</v>
      </c>
      <c r="K37" s="19">
        <v>165.93</v>
      </c>
      <c r="L37" s="19">
        <v>183.42</v>
      </c>
      <c r="M37" s="19">
        <v>200.93</v>
      </c>
      <c r="N37" s="19">
        <v>218.43</v>
      </c>
      <c r="O37" s="19">
        <v>235.94</v>
      </c>
      <c r="P37" s="19">
        <v>253.46</v>
      </c>
      <c r="Q37" s="19">
        <v>270.97000000000003</v>
      </c>
      <c r="R37" s="19">
        <v>288.45999999999998</v>
      </c>
      <c r="S37" s="19">
        <v>305.99</v>
      </c>
      <c r="T37" s="19">
        <v>323.49</v>
      </c>
      <c r="U37" s="19">
        <v>340.98</v>
      </c>
      <c r="V37" s="19">
        <v>358.5</v>
      </c>
      <c r="W37" s="19">
        <v>376.01</v>
      </c>
      <c r="X37" s="19">
        <v>393.5</v>
      </c>
      <c r="Y37" s="20">
        <v>411.04</v>
      </c>
    </row>
    <row r="38" spans="2:25">
      <c r="B38" s="21">
        <f t="shared" si="0"/>
        <v>6001</v>
      </c>
      <c r="C38" s="17">
        <v>7000</v>
      </c>
      <c r="D38" s="18">
        <v>45.59</v>
      </c>
      <c r="E38" s="19">
        <v>65.680000000000007</v>
      </c>
      <c r="F38" s="19">
        <v>83.14</v>
      </c>
      <c r="G38" s="19">
        <v>100.61</v>
      </c>
      <c r="H38" s="19">
        <v>118.05</v>
      </c>
      <c r="I38" s="19">
        <v>135.51</v>
      </c>
      <c r="J38" s="19">
        <v>153.1</v>
      </c>
      <c r="K38" s="19">
        <v>170.7</v>
      </c>
      <c r="L38" s="19">
        <v>187.74</v>
      </c>
      <c r="M38" s="19">
        <v>204.78</v>
      </c>
      <c r="N38" s="19">
        <v>223.53</v>
      </c>
      <c r="O38" s="19">
        <v>242.26</v>
      </c>
      <c r="P38" s="19">
        <v>259.95</v>
      </c>
      <c r="Q38" s="19">
        <v>277.63</v>
      </c>
      <c r="R38" s="19">
        <v>296.2</v>
      </c>
      <c r="S38" s="19">
        <v>314.8</v>
      </c>
      <c r="T38" s="19">
        <v>332.53</v>
      </c>
      <c r="U38" s="19">
        <v>350.3</v>
      </c>
      <c r="V38" s="19">
        <v>369.48</v>
      </c>
      <c r="W38" s="19">
        <v>387.26</v>
      </c>
      <c r="X38" s="19">
        <v>405.64</v>
      </c>
      <c r="Y38" s="20">
        <v>422.18</v>
      </c>
    </row>
    <row r="39" spans="2:25">
      <c r="B39" s="21">
        <f t="shared" si="0"/>
        <v>7001</v>
      </c>
      <c r="C39" s="17">
        <v>8000</v>
      </c>
      <c r="D39" s="18">
        <v>48.99</v>
      </c>
      <c r="E39" s="19">
        <v>71.81</v>
      </c>
      <c r="F39" s="19">
        <v>89.6</v>
      </c>
      <c r="G39" s="19">
        <v>107.38</v>
      </c>
      <c r="H39" s="19">
        <v>125.15</v>
      </c>
      <c r="I39" s="19">
        <v>142.87</v>
      </c>
      <c r="J39" s="19">
        <v>160.93</v>
      </c>
      <c r="K39" s="19">
        <v>178.97</v>
      </c>
      <c r="L39" s="19">
        <v>195.88</v>
      </c>
      <c r="M39" s="19">
        <v>212.79</v>
      </c>
      <c r="N39" s="19">
        <v>233.16</v>
      </c>
      <c r="O39" s="19">
        <v>253.53</v>
      </c>
      <c r="P39" s="19">
        <v>271.74</v>
      </c>
      <c r="Q39" s="19">
        <v>289.95999999999998</v>
      </c>
      <c r="R39" s="19">
        <v>309.98</v>
      </c>
      <c r="S39" s="19">
        <v>330.04</v>
      </c>
      <c r="T39" s="19">
        <v>348.41</v>
      </c>
      <c r="U39" s="19">
        <v>366.75</v>
      </c>
      <c r="V39" s="19">
        <v>387.98</v>
      </c>
      <c r="W39" s="19">
        <v>406.41</v>
      </c>
      <c r="X39" s="19">
        <v>426.06</v>
      </c>
      <c r="Y39" s="20">
        <v>441.95</v>
      </c>
    </row>
    <row r="40" spans="2:25">
      <c r="B40" s="21">
        <f t="shared" si="0"/>
        <v>8001</v>
      </c>
      <c r="C40" s="17">
        <v>9000</v>
      </c>
      <c r="D40" s="18">
        <v>52.41</v>
      </c>
      <c r="E40" s="19">
        <v>77.959999999999994</v>
      </c>
      <c r="F40" s="19">
        <v>96.08</v>
      </c>
      <c r="G40" s="19">
        <v>114.14</v>
      </c>
      <c r="H40" s="19">
        <v>132.22</v>
      </c>
      <c r="I40" s="19">
        <v>150.24</v>
      </c>
      <c r="J40" s="19">
        <v>168.76</v>
      </c>
      <c r="K40" s="19">
        <v>187.23</v>
      </c>
      <c r="L40" s="19">
        <v>204.01</v>
      </c>
      <c r="M40" s="19">
        <v>220.81</v>
      </c>
      <c r="N40" s="19">
        <v>242.8</v>
      </c>
      <c r="O40" s="19">
        <v>264.77999999999997</v>
      </c>
      <c r="P40" s="19">
        <v>283.54000000000002</v>
      </c>
      <c r="Q40" s="19">
        <v>302.26</v>
      </c>
      <c r="R40" s="19">
        <v>323.77999999999997</v>
      </c>
      <c r="S40" s="19">
        <v>345.3</v>
      </c>
      <c r="T40" s="19">
        <v>364.26</v>
      </c>
      <c r="U40" s="19">
        <v>383.2</v>
      </c>
      <c r="V40" s="19">
        <v>406.48</v>
      </c>
      <c r="W40" s="19">
        <v>425.57</v>
      </c>
      <c r="X40" s="19">
        <v>446.47</v>
      </c>
      <c r="Y40" s="20">
        <v>461.71</v>
      </c>
    </row>
    <row r="41" spans="2:25">
      <c r="B41" s="21">
        <f t="shared" si="0"/>
        <v>9001</v>
      </c>
      <c r="C41" s="17">
        <v>10000</v>
      </c>
      <c r="D41" s="18">
        <v>55.82</v>
      </c>
      <c r="E41" s="19">
        <v>84.09</v>
      </c>
      <c r="F41" s="19">
        <v>102.53</v>
      </c>
      <c r="G41" s="19">
        <v>120.91</v>
      </c>
      <c r="H41" s="19">
        <v>139.30000000000001</v>
      </c>
      <c r="I41" s="19">
        <v>157.62</v>
      </c>
      <c r="J41" s="19">
        <v>176.56</v>
      </c>
      <c r="K41" s="19">
        <v>195.5</v>
      </c>
      <c r="L41" s="19">
        <v>212.17</v>
      </c>
      <c r="M41" s="19">
        <v>228.82</v>
      </c>
      <c r="N41" s="19">
        <v>252.43</v>
      </c>
      <c r="O41" s="19">
        <v>276.04000000000002</v>
      </c>
      <c r="P41" s="19">
        <v>295.33</v>
      </c>
      <c r="Q41" s="19">
        <v>314.60000000000002</v>
      </c>
      <c r="R41" s="19">
        <v>337.58</v>
      </c>
      <c r="S41" s="19">
        <v>360.53</v>
      </c>
      <c r="T41" s="19">
        <v>380.09</v>
      </c>
      <c r="U41" s="19">
        <v>399.67</v>
      </c>
      <c r="V41" s="19">
        <v>425.02</v>
      </c>
      <c r="W41" s="19">
        <v>444.73</v>
      </c>
      <c r="X41" s="19">
        <v>466.87</v>
      </c>
      <c r="Y41" s="20">
        <v>481.47</v>
      </c>
    </row>
    <row r="42" spans="2:25">
      <c r="B42" s="21">
        <f t="shared" si="0"/>
        <v>10001</v>
      </c>
      <c r="C42" s="17">
        <v>11000</v>
      </c>
      <c r="D42" s="18">
        <v>59.22</v>
      </c>
      <c r="E42" s="19">
        <v>90.24</v>
      </c>
      <c r="F42" s="19">
        <v>109.01</v>
      </c>
      <c r="G42" s="19">
        <v>127.7</v>
      </c>
      <c r="H42" s="19">
        <v>146.36000000000001</v>
      </c>
      <c r="I42" s="19">
        <v>164.99</v>
      </c>
      <c r="J42" s="19">
        <v>184.39</v>
      </c>
      <c r="K42" s="19">
        <v>203.79</v>
      </c>
      <c r="L42" s="19">
        <v>220.31</v>
      </c>
      <c r="M42" s="19">
        <v>236.86</v>
      </c>
      <c r="N42" s="19">
        <v>262.08999999999997</v>
      </c>
      <c r="O42" s="19">
        <v>287.33</v>
      </c>
      <c r="P42" s="19">
        <v>307.11</v>
      </c>
      <c r="Q42" s="19">
        <v>326.91000000000003</v>
      </c>
      <c r="R42" s="19">
        <v>351.36</v>
      </c>
      <c r="S42" s="19">
        <v>375.79</v>
      </c>
      <c r="T42" s="19">
        <v>395.94</v>
      </c>
      <c r="U42" s="19">
        <v>416.11</v>
      </c>
      <c r="V42" s="19">
        <v>443.5</v>
      </c>
      <c r="W42" s="19">
        <v>463.91</v>
      </c>
      <c r="X42" s="19">
        <v>487.29</v>
      </c>
      <c r="Y42" s="20">
        <v>501.24</v>
      </c>
    </row>
    <row r="43" spans="2:25">
      <c r="B43" s="21">
        <f t="shared" si="0"/>
        <v>11001</v>
      </c>
      <c r="C43" s="17">
        <v>12000</v>
      </c>
      <c r="D43" s="18">
        <v>63.57</v>
      </c>
      <c r="E43" s="19">
        <v>97.7</v>
      </c>
      <c r="F43" s="19">
        <v>117.16</v>
      </c>
      <c r="G43" s="19">
        <v>136.54</v>
      </c>
      <c r="H43" s="19">
        <v>155.84</v>
      </c>
      <c r="I43" s="19">
        <v>175.13</v>
      </c>
      <c r="J43" s="19">
        <v>195.33</v>
      </c>
      <c r="K43" s="19">
        <v>215.52</v>
      </c>
      <c r="L43" s="19">
        <v>232.28</v>
      </c>
      <c r="M43" s="19">
        <v>249.03</v>
      </c>
      <c r="N43" s="19">
        <v>276.29000000000002</v>
      </c>
      <c r="O43" s="19">
        <v>303.52</v>
      </c>
      <c r="P43" s="19">
        <v>324.22000000000003</v>
      </c>
      <c r="Q43" s="19">
        <v>344.92</v>
      </c>
      <c r="R43" s="19">
        <v>371.2</v>
      </c>
      <c r="S43" s="19">
        <v>397.44</v>
      </c>
      <c r="T43" s="19">
        <v>418.58</v>
      </c>
      <c r="U43" s="19">
        <v>439.71</v>
      </c>
      <c r="V43" s="19">
        <v>469.58</v>
      </c>
      <c r="W43" s="19">
        <v>490.95</v>
      </c>
      <c r="X43" s="19">
        <v>516.01</v>
      </c>
      <c r="Y43" s="20">
        <v>529.62</v>
      </c>
    </row>
    <row r="44" spans="2:25" ht="12.9" thickBot="1">
      <c r="B44" s="49" t="s">
        <v>3</v>
      </c>
      <c r="C44" s="50"/>
      <c r="D44" s="22">
        <v>66.08</v>
      </c>
      <c r="E44" s="23">
        <v>101.53</v>
      </c>
      <c r="F44" s="23">
        <v>121.59</v>
      </c>
      <c r="G44" s="23">
        <v>141.68</v>
      </c>
      <c r="H44" s="23">
        <v>161.75</v>
      </c>
      <c r="I44" s="23">
        <v>181.81</v>
      </c>
      <c r="J44" s="23">
        <v>202.91</v>
      </c>
      <c r="K44" s="23">
        <v>223.97</v>
      </c>
      <c r="L44" s="23">
        <v>241.51</v>
      </c>
      <c r="M44" s="23">
        <v>259.02</v>
      </c>
      <c r="N44" s="23">
        <v>287.26</v>
      </c>
      <c r="O44" s="23">
        <v>315.51</v>
      </c>
      <c r="P44" s="23">
        <v>337.12</v>
      </c>
      <c r="Q44" s="23">
        <v>358.73</v>
      </c>
      <c r="R44" s="23">
        <v>385.98</v>
      </c>
      <c r="S44" s="23">
        <v>413.2</v>
      </c>
      <c r="T44" s="23">
        <v>435.21</v>
      </c>
      <c r="U44" s="23">
        <v>457.23</v>
      </c>
      <c r="V44" s="23">
        <v>487.62</v>
      </c>
      <c r="W44" s="23">
        <v>510.44</v>
      </c>
      <c r="X44" s="23">
        <v>536.32000000000005</v>
      </c>
      <c r="Y44" s="24">
        <v>550.80999999999995</v>
      </c>
    </row>
    <row r="45" spans="2:25" ht="5.25" customHeight="1">
      <c r="Y45" s="25"/>
    </row>
    <row r="46" spans="2:25">
      <c r="B46" s="26" t="s">
        <v>6</v>
      </c>
      <c r="Y46" s="25"/>
    </row>
    <row r="47" spans="2:25">
      <c r="B47" s="26"/>
      <c r="Y47" s="25"/>
    </row>
    <row r="49" spans="2:25">
      <c r="B49" s="51" t="s">
        <v>4</v>
      </c>
      <c r="C49" s="51"/>
      <c r="D49" s="51"/>
      <c r="E49" s="51"/>
      <c r="F49" s="51"/>
      <c r="G49" s="51"/>
      <c r="H49" s="51"/>
      <c r="I49" s="51"/>
      <c r="J49" s="51"/>
      <c r="K49" s="51"/>
      <c r="L49" s="51"/>
      <c r="M49" s="51"/>
      <c r="N49" s="51"/>
      <c r="O49" s="51"/>
      <c r="P49" s="51"/>
      <c r="Q49" s="51"/>
      <c r="R49" s="51"/>
      <c r="S49" s="51"/>
      <c r="T49" s="51"/>
      <c r="U49" s="51"/>
      <c r="V49" s="51"/>
      <c r="W49" s="51"/>
      <c r="X49" s="51"/>
      <c r="Y49" s="51"/>
    </row>
    <row r="50" spans="2:25" ht="15.75" customHeight="1">
      <c r="B50" s="51"/>
      <c r="C50" s="51"/>
      <c r="D50" s="51"/>
      <c r="E50" s="51"/>
      <c r="F50" s="51"/>
      <c r="G50" s="51"/>
      <c r="H50" s="51"/>
      <c r="I50" s="51"/>
      <c r="J50" s="51"/>
      <c r="K50" s="51"/>
      <c r="L50" s="51"/>
      <c r="M50" s="51"/>
      <c r="N50" s="51"/>
      <c r="O50" s="51"/>
      <c r="P50" s="51"/>
      <c r="Q50" s="51"/>
      <c r="R50" s="51"/>
      <c r="S50" s="51"/>
      <c r="T50" s="51"/>
      <c r="U50" s="51"/>
      <c r="V50" s="51"/>
      <c r="W50" s="51"/>
      <c r="X50" s="51"/>
      <c r="Y50" s="51"/>
    </row>
  </sheetData>
  <mergeCells count="5">
    <mergeCell ref="B9:C9"/>
    <mergeCell ref="D9:Y9"/>
    <mergeCell ref="B10:C11"/>
    <mergeCell ref="B44:C44"/>
    <mergeCell ref="B49:Y50"/>
  </mergeCells>
  <phoneticPr fontId="9" type="noConversion"/>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9F75-D4A2-4239-8F04-66B1ADE73800}">
  <dimension ref="A2:W11"/>
  <sheetViews>
    <sheetView zoomScale="70" zoomScaleNormal="70" workbookViewId="0">
      <selection activeCell="J24" sqref="J24"/>
    </sheetView>
  </sheetViews>
  <sheetFormatPr defaultRowHeight="14.15"/>
  <cols>
    <col min="1" max="1" width="29.78515625" customWidth="1"/>
  </cols>
  <sheetData>
    <row r="2" spans="1:23" ht="14.6" thickBot="1"/>
    <row r="3" spans="1:23" ht="14.6" thickBot="1">
      <c r="A3" s="52" t="s">
        <v>42</v>
      </c>
      <c r="B3" s="11">
        <v>1</v>
      </c>
      <c r="C3" s="16">
        <f t="shared" ref="C3:W3" si="0">B4+1</f>
        <v>51</v>
      </c>
      <c r="D3" s="16">
        <f t="shared" si="0"/>
        <v>71</v>
      </c>
      <c r="E3" s="16">
        <f t="shared" si="0"/>
        <v>101</v>
      </c>
      <c r="F3" s="16">
        <f t="shared" si="0"/>
        <v>151</v>
      </c>
      <c r="G3" s="16">
        <f t="shared" si="0"/>
        <v>201</v>
      </c>
      <c r="H3" s="16">
        <f t="shared" si="0"/>
        <v>251</v>
      </c>
      <c r="I3" s="16">
        <f t="shared" si="0"/>
        <v>301</v>
      </c>
      <c r="J3" s="16">
        <f t="shared" si="0"/>
        <v>351</v>
      </c>
      <c r="K3" s="16">
        <f t="shared" si="0"/>
        <v>401</v>
      </c>
      <c r="L3" s="16">
        <f t="shared" si="0"/>
        <v>451</v>
      </c>
      <c r="M3" s="16">
        <f t="shared" si="0"/>
        <v>501</v>
      </c>
      <c r="N3" s="16">
        <f t="shared" si="0"/>
        <v>601</v>
      </c>
      <c r="O3" s="16">
        <f t="shared" si="0"/>
        <v>701</v>
      </c>
      <c r="P3" s="16">
        <f t="shared" si="0"/>
        <v>801</v>
      </c>
      <c r="Q3" s="16">
        <f t="shared" si="0"/>
        <v>901</v>
      </c>
      <c r="R3" s="21">
        <f t="shared" si="0"/>
        <v>1001</v>
      </c>
      <c r="S3" s="21">
        <f t="shared" si="0"/>
        <v>1251</v>
      </c>
      <c r="T3" s="21">
        <f t="shared" si="0"/>
        <v>1501</v>
      </c>
      <c r="U3" s="21">
        <f t="shared" si="0"/>
        <v>1751</v>
      </c>
      <c r="V3" s="21">
        <f t="shared" si="0"/>
        <v>2001</v>
      </c>
      <c r="W3" s="21">
        <f t="shared" si="0"/>
        <v>2251</v>
      </c>
    </row>
    <row r="4" spans="1:23" ht="14.6" thickBot="1">
      <c r="A4" s="53"/>
      <c r="B4" s="12">
        <v>50</v>
      </c>
      <c r="C4" s="17">
        <v>70</v>
      </c>
      <c r="D4" s="17">
        <v>100</v>
      </c>
      <c r="E4" s="17">
        <v>150</v>
      </c>
      <c r="F4" s="17">
        <v>200</v>
      </c>
      <c r="G4" s="17">
        <v>250</v>
      </c>
      <c r="H4" s="17">
        <v>300</v>
      </c>
      <c r="I4" s="17">
        <v>350</v>
      </c>
      <c r="J4" s="17">
        <v>400</v>
      </c>
      <c r="K4" s="17">
        <v>450</v>
      </c>
      <c r="L4" s="17">
        <v>500</v>
      </c>
      <c r="M4" s="17">
        <v>600</v>
      </c>
      <c r="N4" s="17">
        <v>700</v>
      </c>
      <c r="O4" s="17">
        <v>800</v>
      </c>
      <c r="P4" s="17">
        <v>900</v>
      </c>
      <c r="Q4" s="17">
        <v>1000</v>
      </c>
      <c r="R4" s="17">
        <v>1250</v>
      </c>
      <c r="S4" s="17">
        <v>1500</v>
      </c>
      <c r="T4" s="17">
        <v>1750</v>
      </c>
      <c r="U4" s="17">
        <v>2000</v>
      </c>
      <c r="V4" s="17">
        <v>2250</v>
      </c>
      <c r="W4" s="17">
        <v>2500</v>
      </c>
    </row>
    <row r="5" spans="1:23" ht="14.6" thickBot="1">
      <c r="A5" s="38" t="s">
        <v>41</v>
      </c>
      <c r="B5" s="14">
        <v>3.26</v>
      </c>
      <c r="C5" s="19">
        <v>3.48</v>
      </c>
      <c r="D5" s="19">
        <v>4.07</v>
      </c>
      <c r="E5" s="19">
        <v>5.03</v>
      </c>
      <c r="F5" s="31">
        <v>6.25</v>
      </c>
      <c r="G5" s="19">
        <v>7.43</v>
      </c>
      <c r="H5" s="19">
        <v>8.6300000000000008</v>
      </c>
      <c r="I5" s="19">
        <v>9.83</v>
      </c>
      <c r="J5" s="19">
        <v>11</v>
      </c>
      <c r="K5" s="19">
        <v>12.22</v>
      </c>
      <c r="L5" s="19">
        <v>13.42</v>
      </c>
      <c r="M5" s="19">
        <v>15.21</v>
      </c>
      <c r="N5" s="19">
        <v>17.63</v>
      </c>
      <c r="O5" s="19">
        <v>20</v>
      </c>
      <c r="P5" s="19">
        <v>22.39</v>
      </c>
      <c r="Q5" s="19">
        <v>24.8</v>
      </c>
      <c r="R5" s="19">
        <v>28.99</v>
      </c>
      <c r="S5" s="19">
        <v>34.97</v>
      </c>
      <c r="T5" s="19">
        <v>40.97</v>
      </c>
      <c r="U5" s="19">
        <v>46.94</v>
      </c>
      <c r="V5" s="19">
        <v>52.93</v>
      </c>
      <c r="W5" s="35">
        <v>58.92</v>
      </c>
    </row>
    <row r="6" spans="1:23" ht="14.6" thickBot="1">
      <c r="A6" s="39" t="s">
        <v>40</v>
      </c>
      <c r="B6" s="14">
        <v>3.4</v>
      </c>
      <c r="C6" s="19">
        <v>3.66</v>
      </c>
      <c r="D6" s="19">
        <v>4.3600000000000003</v>
      </c>
      <c r="E6" s="19">
        <v>5.46</v>
      </c>
      <c r="F6" s="19">
        <v>6.8</v>
      </c>
      <c r="G6" s="19">
        <v>8.19</v>
      </c>
      <c r="H6" s="19">
        <v>9.5299999999999994</v>
      </c>
      <c r="I6" s="19">
        <v>10.9</v>
      </c>
      <c r="J6" s="19">
        <v>12.26</v>
      </c>
      <c r="K6" s="19">
        <v>13.61</v>
      </c>
      <c r="L6" s="19">
        <v>14.97</v>
      </c>
      <c r="M6" s="19">
        <v>17.010000000000002</v>
      </c>
      <c r="N6" s="19">
        <v>19.7</v>
      </c>
      <c r="O6" s="19">
        <v>22.43</v>
      </c>
      <c r="P6" s="19">
        <v>25.16</v>
      </c>
      <c r="Q6" s="19">
        <v>27.87</v>
      </c>
      <c r="R6" s="19">
        <v>32.659999999999997</v>
      </c>
      <c r="S6" s="31">
        <v>39.44</v>
      </c>
      <c r="T6" s="19">
        <v>46.24</v>
      </c>
      <c r="U6" s="19">
        <v>53.03</v>
      </c>
      <c r="V6" s="19">
        <v>59.83</v>
      </c>
      <c r="W6" s="35">
        <v>66.63</v>
      </c>
    </row>
    <row r="7" spans="1:23" ht="14.6" thickBot="1">
      <c r="A7" s="39" t="s">
        <v>39</v>
      </c>
      <c r="B7" s="14">
        <v>3.59</v>
      </c>
      <c r="C7" s="19">
        <v>3.86</v>
      </c>
      <c r="D7" s="19">
        <v>4.63</v>
      </c>
      <c r="E7" s="19">
        <v>5.85</v>
      </c>
      <c r="F7" s="19">
        <v>7.38</v>
      </c>
      <c r="G7" s="19">
        <v>8.89</v>
      </c>
      <c r="H7" s="19">
        <v>10.41</v>
      </c>
      <c r="I7" s="19">
        <v>11.94</v>
      </c>
      <c r="J7" s="19">
        <v>13.47</v>
      </c>
      <c r="K7" s="19">
        <v>14.99</v>
      </c>
      <c r="L7" s="19">
        <v>16.510000000000002</v>
      </c>
      <c r="M7" s="19">
        <v>18.78</v>
      </c>
      <c r="N7" s="19">
        <v>21.83</v>
      </c>
      <c r="O7" s="19">
        <v>24.87</v>
      </c>
      <c r="P7" s="19">
        <v>27.92</v>
      </c>
      <c r="Q7" s="19">
        <v>30.96</v>
      </c>
      <c r="R7" s="19">
        <v>36.32</v>
      </c>
      <c r="S7" s="19">
        <v>43.9</v>
      </c>
      <c r="T7" s="19">
        <v>51.51</v>
      </c>
      <c r="U7" s="19">
        <v>59.12</v>
      </c>
      <c r="V7" s="19">
        <v>66.739999999999995</v>
      </c>
      <c r="W7" s="35">
        <v>74.349999999999994</v>
      </c>
    </row>
    <row r="8" spans="1:23" ht="14.6" thickBot="1">
      <c r="A8" s="39" t="s">
        <v>38</v>
      </c>
      <c r="B8" s="14">
        <v>3.72</v>
      </c>
      <c r="C8" s="19">
        <v>4.07</v>
      </c>
      <c r="D8" s="19">
        <v>4.91</v>
      </c>
      <c r="E8" s="19">
        <v>6.26</v>
      </c>
      <c r="F8" s="19">
        <v>7.95</v>
      </c>
      <c r="G8" s="19">
        <v>9.6300000000000008</v>
      </c>
      <c r="H8" s="19">
        <v>11.31</v>
      </c>
      <c r="I8" s="19">
        <v>12.99</v>
      </c>
      <c r="J8" s="19">
        <v>14.69</v>
      </c>
      <c r="K8" s="19">
        <v>16.36</v>
      </c>
      <c r="L8" s="19">
        <v>18.05</v>
      </c>
      <c r="M8" s="19">
        <v>20.58</v>
      </c>
      <c r="N8" s="19">
        <v>23.94</v>
      </c>
      <c r="O8" s="19">
        <v>27.31</v>
      </c>
      <c r="P8" s="19">
        <v>30.69</v>
      </c>
      <c r="Q8" s="19">
        <v>34.049999999999997</v>
      </c>
      <c r="R8" s="19">
        <v>39.94</v>
      </c>
      <c r="S8" s="19">
        <v>48.37</v>
      </c>
      <c r="T8" s="19">
        <v>56.82</v>
      </c>
      <c r="U8" s="19">
        <v>65.23</v>
      </c>
      <c r="V8" s="19">
        <v>73.66</v>
      </c>
      <c r="W8" s="35">
        <v>82.07</v>
      </c>
    </row>
    <row r="9" spans="1:23" ht="14.6" thickBot="1">
      <c r="A9" s="39" t="s">
        <v>37</v>
      </c>
      <c r="B9" s="14">
        <v>4.05</v>
      </c>
      <c r="C9" s="19">
        <v>4.46</v>
      </c>
      <c r="D9" s="19">
        <v>5.48</v>
      </c>
      <c r="E9" s="19">
        <v>7.07</v>
      </c>
      <c r="F9" s="19">
        <v>9.08</v>
      </c>
      <c r="G9" s="19">
        <v>11.09</v>
      </c>
      <c r="H9" s="19">
        <v>13.1</v>
      </c>
      <c r="I9" s="19">
        <v>15.1</v>
      </c>
      <c r="J9" s="19">
        <v>17.12</v>
      </c>
      <c r="K9" s="19">
        <v>19.12</v>
      </c>
      <c r="L9" s="19">
        <v>21.14</v>
      </c>
      <c r="M9" s="19">
        <v>24.17</v>
      </c>
      <c r="N9" s="19">
        <v>28.18</v>
      </c>
      <c r="O9" s="19">
        <v>32.200000000000003</v>
      </c>
      <c r="P9" s="19">
        <v>36.229999999999997</v>
      </c>
      <c r="Q9" s="19">
        <v>40.24</v>
      </c>
      <c r="R9" s="19">
        <v>47.27</v>
      </c>
      <c r="S9" s="19">
        <v>57.32</v>
      </c>
      <c r="T9" s="19">
        <v>67.38</v>
      </c>
      <c r="U9" s="19">
        <v>77.44</v>
      </c>
      <c r="V9" s="19">
        <v>87.49</v>
      </c>
      <c r="W9" s="35">
        <v>97.55</v>
      </c>
    </row>
    <row r="10" spans="1:23" ht="14.6" thickBot="1">
      <c r="A10" s="39" t="s">
        <v>36</v>
      </c>
      <c r="B10" s="14">
        <v>4.38</v>
      </c>
      <c r="C10" s="19">
        <v>4.8600000000000003</v>
      </c>
      <c r="D10" s="19">
        <v>6.02</v>
      </c>
      <c r="E10" s="19">
        <v>7.89</v>
      </c>
      <c r="F10" s="19">
        <v>10.23</v>
      </c>
      <c r="G10" s="31">
        <v>12.56</v>
      </c>
      <c r="H10" s="19">
        <v>14.9</v>
      </c>
      <c r="I10" s="19">
        <v>17.21</v>
      </c>
      <c r="J10" s="19">
        <v>19.57</v>
      </c>
      <c r="K10" s="19">
        <v>21.9</v>
      </c>
      <c r="L10" s="19">
        <v>24.24</v>
      </c>
      <c r="M10" s="19">
        <v>27.74</v>
      </c>
      <c r="N10" s="19">
        <v>32.409999999999997</v>
      </c>
      <c r="O10" s="19">
        <v>37.07</v>
      </c>
      <c r="P10" s="19">
        <v>41.74</v>
      </c>
      <c r="Q10" s="19">
        <v>46.41</v>
      </c>
      <c r="R10" s="19">
        <v>54.58</v>
      </c>
      <c r="S10" s="19">
        <v>66.260000000000005</v>
      </c>
      <c r="T10" s="19">
        <v>77.92</v>
      </c>
      <c r="U10" s="19">
        <v>89.64</v>
      </c>
      <c r="V10" s="19">
        <v>101.3</v>
      </c>
      <c r="W10" s="35">
        <v>112.96</v>
      </c>
    </row>
    <row r="11" spans="1:23">
      <c r="A11" s="39" t="s">
        <v>14</v>
      </c>
      <c r="B11" s="14">
        <v>4.55</v>
      </c>
      <c r="C11" s="19">
        <v>5.03</v>
      </c>
      <c r="D11" s="19">
        <v>6.32</v>
      </c>
      <c r="E11" s="19">
        <v>8.3000000000000007</v>
      </c>
      <c r="F11" s="19">
        <v>10.78</v>
      </c>
      <c r="G11" s="19">
        <v>13.27</v>
      </c>
      <c r="H11" s="19">
        <v>15.79</v>
      </c>
      <c r="I11" s="19">
        <v>18.3</v>
      </c>
      <c r="J11" s="19">
        <v>20.78</v>
      </c>
      <c r="K11" s="19">
        <v>23.27</v>
      </c>
      <c r="L11" s="19">
        <v>25.78</v>
      </c>
      <c r="M11" s="19">
        <v>29.52</v>
      </c>
      <c r="N11" s="19">
        <v>34.520000000000003</v>
      </c>
      <c r="O11" s="19">
        <v>39.51</v>
      </c>
      <c r="P11" s="19">
        <v>44.5</v>
      </c>
      <c r="Q11" s="19">
        <v>49.51</v>
      </c>
      <c r="R11" s="19">
        <v>58.25</v>
      </c>
      <c r="S11" s="19">
        <v>70.739999999999995</v>
      </c>
      <c r="T11" s="19">
        <v>83.22</v>
      </c>
      <c r="U11" s="19">
        <v>95.71</v>
      </c>
      <c r="V11" s="19">
        <v>108.19</v>
      </c>
      <c r="W11" s="35">
        <v>120.68</v>
      </c>
    </row>
  </sheetData>
  <mergeCells count="1">
    <mergeCell ref="A3:A4"/>
  </mergeCells>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ECB09BBC5866E4E91DED853C96DC45F" ma:contentTypeVersion="17" ma:contentTypeDescription="Create a new document." ma:contentTypeScope="" ma:versionID="56fecf2e8e34168b1a135a6e01180514">
  <xsd:schema xmlns:xsd="http://www.w3.org/2001/XMLSchema" xmlns:xs="http://www.w3.org/2001/XMLSchema" xmlns:p="http://schemas.microsoft.com/office/2006/metadata/properties" xmlns:ns2="95601026-8c78-43cc-afa8-5b2cd7a1ea99" xmlns:ns3="4400a30b-d122-44ee-a923-1f015ce88aec" targetNamespace="http://schemas.microsoft.com/office/2006/metadata/properties" ma:root="true" ma:fieldsID="18a9cd8cac881dd1617630ca0115c542" ns2:_="" ns3:_="">
    <xsd:import namespace="95601026-8c78-43cc-afa8-5b2cd7a1ea99"/>
    <xsd:import namespace="4400a30b-d122-44ee-a923-1f015ce88ae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MediaServiceLocation" minOccurs="0"/>
                <xsd:element ref="ns2:lcf76f155ced4ddcb4097134ff3c332f"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601026-8c78-43cc-afa8-5b2cd7a1ea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a2fdd27-ee36-42ac-901d-ae0f66495c7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00a30b-d122-44ee-a923-1f015ce88aec"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5601026-8c78-43cc-afa8-5b2cd7a1ea9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C18FC5-88E4-43A1-8862-77E9DB52000D}">
  <ds:schemaRefs>
    <ds:schemaRef ds:uri="http://schemas.microsoft.com/sharepoint/v3/contenttype/forms"/>
  </ds:schemaRefs>
</ds:datastoreItem>
</file>

<file path=customXml/itemProps2.xml><?xml version="1.0" encoding="utf-8"?>
<ds:datastoreItem xmlns:ds="http://schemas.openxmlformats.org/officeDocument/2006/customXml" ds:itemID="{96BF2737-0705-47C3-B5DA-366718BC47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601026-8c78-43cc-afa8-5b2cd7a1ea99"/>
    <ds:schemaRef ds:uri="4400a30b-d122-44ee-a923-1f015ce88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60108E-BE3E-48E3-A4CF-48825AEFF13C}">
  <ds:schemaRefs>
    <ds:schemaRef ds:uri="http://schemas.microsoft.com/office/2006/metadata/properties"/>
    <ds:schemaRef ds:uri="http://schemas.microsoft.com/office/infopath/2007/PartnerControls"/>
    <ds:schemaRef ds:uri="95601026-8c78-43cc-afa8-5b2cd7a1ea99"/>
  </ds:schemaRefs>
</ds:datastoreItem>
</file>

<file path=docMetadata/LabelInfo.xml><?xml version="1.0" encoding="utf-8"?>
<clbl:labelList xmlns:clbl="http://schemas.microsoft.com/office/2020/mipLabelMetadata">
  <clbl:label id="{705c9e18-d393-4470-8b67-9616c62ec31f}" enabled="1" method="Standard" siteId="{c5d1e823-e2b8-46bf-92ff-84f54313e0a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Mauttabelle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Sonnenfeld, Florian</dc:creator>
  <cp:keywords/>
  <dc:description/>
  <cp:lastModifiedBy>Jun Peng</cp:lastModifiedBy>
  <cp:revision/>
  <dcterms:created xsi:type="dcterms:W3CDTF">2023-08-21T07:53:09Z</dcterms:created>
  <dcterms:modified xsi:type="dcterms:W3CDTF">2025-02-25T21:11:00Z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0x0101003ECB09BBC5866E4E91DED853C96DC45F</vt:lpwstr>
  </property>
  <property fmtid="{D5CDD505-2E9C-101B-9397-08002B2CF9AE}" pid="3" name="MediaServiceImageTags">
    <vt:lpwstr/>
  </property>
</Properties>
</file>